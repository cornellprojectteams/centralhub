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5"/>
    <sheet state="visible" name="Pending Actions" sheetId="2" r:id="rId6"/>
    <sheet state="visible" name="(WIP) Dashboard v2" sheetId="3" r:id="rId7"/>
    <sheet state="visible" name="(WIP) Analysis" sheetId="4" r:id="rId8"/>
    <sheet state="visible" name="Team Contacts" sheetId="5" r:id="rId9"/>
  </sheets>
  <definedNames/>
  <calcPr/>
</workbook>
</file>

<file path=xl/sharedStrings.xml><?xml version="1.0" encoding="utf-8"?>
<sst xmlns="http://schemas.openxmlformats.org/spreadsheetml/2006/main" count="942" uniqueCount="353">
  <si>
    <t>Timestamp</t>
  </si>
  <si>
    <t>Email Address</t>
  </si>
  <si>
    <t>NetID</t>
  </si>
  <si>
    <t xml:space="preserve">Responsible Team </t>
  </si>
  <si>
    <t>Current Status</t>
  </si>
  <si>
    <t>Photo Upload</t>
  </si>
  <si>
    <t>Issue Description</t>
  </si>
  <si>
    <t>Required Actions / Comments</t>
  </si>
  <si>
    <t>Email Tracking</t>
  </si>
  <si>
    <t>Deadline</t>
  </si>
  <si>
    <t>Cleared</t>
  </si>
  <si>
    <t>Nhh5</t>
  </si>
  <si>
    <t>steel bridge</t>
  </si>
  <si>
    <t>Yellow - Stewardship concern (Address at next scheduled meeting)</t>
  </si>
  <si>
    <t>https://drive.google.com/open?id=1o2qJINxEtIWecc01_T3hwMHrd5eQW7Di</t>
  </si>
  <si>
    <t>Housekeeping</t>
  </si>
  <si>
    <t>Move workbenches and materials At least a foot away from air tunnel</t>
  </si>
  <si>
    <t>Old</t>
  </si>
  <si>
    <t>concrete canoe</t>
  </si>
  <si>
    <t>https://drive.google.com/open?id=1Cj39FQhlasJjzh3Sf41upPlEaOf7NAC0</t>
  </si>
  <si>
    <t>Shared space (misuse of)</t>
  </si>
  <si>
    <t xml:space="preserve">Clear floor in storage area. </t>
  </si>
  <si>
    <t>Formula</t>
  </si>
  <si>
    <t>https://drive.google.com/open?id=1Mc8D5g7mozMYaAZcBsNgDAp901dBI9qT</t>
  </si>
  <si>
    <t>https://drive.google.com/open?id=1fUkZ-J4_Kys5RAB58s01JW6v30eo9AzT</t>
  </si>
  <si>
    <t>Empty trash barrels in HVL</t>
  </si>
  <si>
    <t>Email Sent</t>
  </si>
  <si>
    <t>Orange - Operations/ Safety issue (resolve in 2-3 business days)</t>
  </si>
  <si>
    <t>https://drive.google.com/open?id=19rnv4vGnF9Xt7ZLx48vzx5YO834_awAw</t>
  </si>
  <si>
    <t xml:space="preserve">Move tables, coolers and canopy to penthouse </t>
  </si>
  <si>
    <t>Nhh</t>
  </si>
  <si>
    <t>Red - Code violation (immediate action Required)</t>
  </si>
  <si>
    <t>https://drive.google.com/open?id=1sVyU0mTazSzHvLjUdiOo4fX2uiTrtypC</t>
  </si>
  <si>
    <t>Fire / electrical (code violation)</t>
  </si>
  <si>
    <t xml:space="preserve">Move </t>
  </si>
  <si>
    <t>Mars Rover</t>
  </si>
  <si>
    <t>https://drive.google.com/open?id=15i9xzSWFPv9z9PeIcUNKH3ssC5nyvKvo</t>
  </si>
  <si>
    <t>Egress / access</t>
  </si>
  <si>
    <t>Move tool box from aisle</t>
  </si>
  <si>
    <t>jam834</t>
  </si>
  <si>
    <t>DEBUT</t>
  </si>
  <si>
    <t>https://drive.google.com/open?id=1fxgTpXNCdpgbdzmNTtu4HbDfrWtOJMTn</t>
  </si>
  <si>
    <t>Move item away from electrical panel — area must be kept clear.</t>
  </si>
  <si>
    <t>Operations Team</t>
  </si>
  <si>
    <t>https://drive.google.com/open?id=1zTyHKHLN7vLoIi779WHc-U8YZIlEwKP4</t>
  </si>
  <si>
    <t>Unsafe Work Practices</t>
  </si>
  <si>
    <t xml:space="preserve">Fix pedestal vise. </t>
  </si>
  <si>
    <t xml:space="preserve">Nhh5 </t>
  </si>
  <si>
    <t>Ivory -  Below standard (demonstrate improvement in 14-21 days)</t>
  </si>
  <si>
    <t>https://drive.google.com/open?id=13kUfFEkdHXepwkLwBTjrBuajGaT-xZnY</t>
  </si>
  <si>
    <t xml:space="preserve">Maintenance/ facilities </t>
  </si>
  <si>
    <t>Set up new vacuum pump. Move old smoky to HVL</t>
  </si>
  <si>
    <t>https://drive.google.com/open?id=16l_X5ZpmGtHh75Hv4Up14_pg8mO5oAUz</t>
  </si>
  <si>
    <t xml:space="preserve">Store respirators in appropriate containers </t>
  </si>
  <si>
    <t>https://drive.google.com/open?id=1dvJfl4IevUW-CeIfsjhePDQVPw3-OvXw</t>
  </si>
  <si>
    <t>Source replacement code compliant power supply</t>
  </si>
  <si>
    <t xml:space="preserve">Purple - Opportunity for improvement (as time permits) </t>
  </si>
  <si>
    <t>https://drive.google.com/open?id=1de8HXNiKxiP1EIAvmTIH2ArUK5_RiVSZ</t>
  </si>
  <si>
    <t xml:space="preserve">Devise integrated storage mount for brushes and dust pans along with brooms. </t>
  </si>
  <si>
    <t>https://drive.google.com/open?id=1EigQr0yz4Nf_iDZNasaNwNT5iYrfuBjB</t>
  </si>
  <si>
    <t xml:space="preserve">Remove carts from main hall </t>
  </si>
  <si>
    <t>https://drive.google.com/open?id=1vneF2OPeq9ClRfKJh2-2CwxVGO2jfGyO</t>
  </si>
  <si>
    <t xml:space="preserve">Clear workbench. </t>
  </si>
  <si>
    <t>https://drive.google.com/open?id=1ZjqE0xFBW0lrlbBGK6ncoZ3rXCgOPV5C</t>
  </si>
  <si>
    <t xml:space="preserve">Store material in cages or HVL racks </t>
  </si>
  <si>
    <t>Baja</t>
  </si>
  <si>
    <t>https://drive.google.com/open?id=1k8S-vzReA0gG3pY4Fibg1-_oiV_7KZVJ</t>
  </si>
  <si>
    <t xml:space="preserve"> Learn access to panel and eye wash. </t>
  </si>
  <si>
    <t>Red - Code violation (same day action Required)</t>
  </si>
  <si>
    <t>Engine crane, whiteboard, and chair cannot be left in front of electrical panel / yellow walkway.</t>
  </si>
  <si>
    <t>nhh5</t>
  </si>
  <si>
    <t>https://drive.google.com/open?id=18iOgpD_uJExXfOEng28xarrcXyN9R2xz</t>
  </si>
  <si>
    <t>Chain compressed gas cylinder to table leg</t>
  </si>
  <si>
    <t>Purple - Opportunity for improvement (as time permits)</t>
  </si>
  <si>
    <t>https://drive.google.com/open?id=1rD264d84PD7vjcoJN8BPcJsPtTNfB0WK</t>
  </si>
  <si>
    <t>Design better vertical storage for sheet goods. 4‘ x 8‘.</t>
  </si>
  <si>
    <t>https://drive.google.com/open?id=1A97dmPWHNR31nQhwDIxersrMv-w3rTrW</t>
  </si>
  <si>
    <t xml:space="preserve">Replace paint booth exhaust filters </t>
  </si>
  <si>
    <t>Jatin and Eve took it on</t>
  </si>
  <si>
    <t xml:space="preserve">Get welder cables off floor. </t>
  </si>
  <si>
    <t>https://drive.google.com/open?id=1-7XqwdVL-j4aeqhs3MK4XY0jOus6LqOs</t>
  </si>
  <si>
    <t>Clear access areas</t>
  </si>
  <si>
    <t>https://drive.google.com/open?id=1C2O9zg0kXZ8vKHEdR54vLTMAKOfPGGcS</t>
  </si>
  <si>
    <t>Store gas cans in flammables cabinet</t>
  </si>
  <si>
    <t>https://drive.google.com/open?id=1Djirgeu3f7r4fq4Xcew83PfEAO4Qsy5s</t>
  </si>
  <si>
    <t>Clear area in front of fire extinguisher</t>
  </si>
  <si>
    <t>Yellow - Stewardship concern (resolve in 7-10 days)</t>
  </si>
  <si>
    <t>https://drive.google.com/open?id=1TUZqpxJrsyJtnjf-jPi1ro9-BRdytLcd</t>
  </si>
  <si>
    <t xml:space="preserve">Pick up stones from pavement and put them on island closer to the auto lab door so they don’t roll off again. </t>
  </si>
  <si>
    <t>CUAir</t>
  </si>
  <si>
    <t xml:space="preserve">Store Orion parts in team space not in front of shared equipment. </t>
  </si>
  <si>
    <t>https://drive.google.com/open?id=1rGDOeXchU_75BhP1HMOPWZ1q2L3BoXaP</t>
  </si>
  <si>
    <t xml:space="preserve">Secure lumber so it won’t fall and ID owners to advise same. </t>
  </si>
  <si>
    <t>https://drive.google.com/open?id=1zYjmdJ0ZSWGRYxppxo0OuO_TA1SGLH5j</t>
  </si>
  <si>
    <t xml:space="preserve">Clear floor around workbench </t>
  </si>
  <si>
    <t>https://drive.google.com/open?id=1D3qL8TNVc7-zvT5jNVjWzs4qgRazBxpV</t>
  </si>
  <si>
    <t xml:space="preserve">Please empty cabinet for relocation	</t>
  </si>
  <si>
    <t>https://drive.google.com/open?id=1o7d5biGDr7eD_qug17NvNQh1fYBUj_5q</t>
  </si>
  <si>
    <t xml:space="preserve">Test </t>
  </si>
  <si>
    <t>https://drive.google.com/open?id=1yaJWGvoit8IELsPGJon8Uot_H55H-3Xt</t>
  </si>
  <si>
    <t xml:space="preserve">Clean up composites corner to improve access and organization </t>
  </si>
  <si>
    <t>CEV</t>
  </si>
  <si>
    <t>https://drive.google.com/open?id=1GU--yibtx14WJZ0_sNuqmbNL8j73iLRt</t>
  </si>
  <si>
    <t>Clear downdraft table when not in use</t>
  </si>
  <si>
    <t>nhh5@cornell.edu</t>
  </si>
  <si>
    <t>Yellow -   Stewardship Concern (resolve in 7-10 days)</t>
  </si>
  <si>
    <t>https://drive.google.com/open?id=1TsTIvzGNhcttVMZnPgTe3qVgU0VsCkeF</t>
  </si>
  <si>
    <t>Maintenance/ facilities</t>
  </si>
  <si>
    <t>Remove spray paint from wall outside autolab</t>
  </si>
  <si>
    <t>https://drive.google.com/open?id=1iomJVuZ19QsXWRUe6B02t_ql9QHyqJTr</t>
  </si>
  <si>
    <t>Work Practices</t>
  </si>
  <si>
    <t xml:space="preserve">Please clear out painted rocks (put in dumpster) </t>
  </si>
  <si>
    <t>Orange -   Operations Safety (resolve in 2-3 business days)</t>
  </si>
  <si>
    <t>https://drive.google.com/open?id=1l45SBxHjJXbdD2SEDfSi3sBh1qsgbE6r</t>
  </si>
  <si>
    <t>Chemical storage</t>
  </si>
  <si>
    <t xml:space="preserve">Empty oil into 5gal pail for R5 pickup. </t>
  </si>
  <si>
    <t>Concrete Canoe</t>
  </si>
  <si>
    <t>https://drive.google.com/open?id=1kFViKfhSK_t8CK6wcdJdNkaH7GrxyU95</t>
  </si>
  <si>
    <t xml:space="preserve">Assuming this is CCC’s - Move foam to HVL can’t block walkway. </t>
  </si>
  <si>
    <t>jam834@cornell.edu</t>
  </si>
  <si>
    <t>EWH</t>
  </si>
  <si>
    <t>https://drive.google.com/open?id=16-2ZzgFD8n9wZYaniPOz0w6NisXEwoO_</t>
  </si>
  <si>
    <t>Fire code</t>
  </si>
  <si>
    <t xml:space="preserve">Assuming EWH. Wheelchair cannot be in front of the electrical panel. A note has been left on the chair by myself and I moved the chair on one occasion, but it keeps being replaced there. </t>
  </si>
  <si>
    <t>https://drive.google.com/open?id=18GFZyZDJ1WJcR3ieXj1Yw5iJKXofAb_-</t>
  </si>
  <si>
    <t xml:space="preserve">Assuming EWH. Buckets / boxes cannot be placed in front of electrical panel. </t>
  </si>
  <si>
    <t>Unknown / unsure</t>
  </si>
  <si>
    <t>https://drive.google.com/open?id=1mQ8i67BWT-5bGibx-MAF1fsWzVJgi1QP</t>
  </si>
  <si>
    <t xml:space="preserve">None of the Baja / FSAE team members I've spoken to know whose this crane is, but it is blocking the walkway / electrical panel. I have moved it once before, but it continues to be placed in this spot. </t>
  </si>
  <si>
    <t>Purple -   Opportunity for improvement (as time permits)</t>
  </si>
  <si>
    <t>Geodata</t>
  </si>
  <si>
    <t>Shared space</t>
  </si>
  <si>
    <t xml:space="preserve">Boxes appearing to contain geodata materials was placed in front of the EWH shelves. Please refrain from doing so and respect the storage areas of your fellow teams. The boxes were moved in front of the geodata shelves. </t>
  </si>
  <si>
    <t>mcm329@cornell.edu</t>
  </si>
  <si>
    <t>Mcm329</t>
  </si>
  <si>
    <t>Red -   Code Compliance (same-day action Required)</t>
  </si>
  <si>
    <t>https://drive.google.com/open?id=1dNbx1aeoMp1ZXsSz8QghQUrmZj2Meur8</t>
  </si>
  <si>
    <t>Not sure what these are but one fell. I’m on my way back to pick it up but maybe there’s a better spot to store these? red cause they were blocking the way. ended up having to pick them up twice during my shift</t>
  </si>
  <si>
    <t>https://drive.google.com/open?id=1PNU5A-0qAHonIszvNFXADK692wlhKOkH</t>
  </si>
  <si>
    <t xml:space="preserve">Keep flammables off welding table/ hot works area and in flammables cabinet when not in use. </t>
  </si>
  <si>
    <t>https://drive.google.com/open?id=1hQCTHk3xslj4m24P7CZZmpTwX5Fp_k7c</t>
  </si>
  <si>
    <t xml:space="preserve">Please keep door closed (or at least mostly closed)  when room is not in use. </t>
  </si>
  <si>
    <t>Store material rolls so the won’t fall or lean on waste chemical drum</t>
  </si>
  <si>
    <t>nh428@cornell.edu</t>
  </si>
  <si>
    <t>nh428</t>
  </si>
  <si>
    <t>Carbon fiber and metal tubes on the right side of B60 on the verge of falling</t>
  </si>
  <si>
    <t>AutoBoat</t>
  </si>
  <si>
    <t>https://drive.google.com/open?id=123AIpsKqNibRFF3EB1mKLcqO3XH4F6Ds</t>
  </si>
  <si>
    <t xml:space="preserve">Remove materials that are blocking access to flammables cabinets </t>
  </si>
  <si>
    <t>https://drive.google.com/open?id=1H96S9ivvB4e3WGdp0t18sEs4wTBBL_di</t>
  </si>
  <si>
    <t xml:space="preserve">Move materials that are blocking access to flammables cabinets </t>
  </si>
  <si>
    <t>CUBMD</t>
  </si>
  <si>
    <t>https://drive.google.com/open?id=1gwY0e1fP97A6wn3fchNxHbcOBaLPp_qo</t>
  </si>
  <si>
    <t xml:space="preserve">Clear team stuff from reservable table when not in use. </t>
  </si>
  <si>
    <t>EWB</t>
  </si>
  <si>
    <t>https://drive.google.com/open?id=1FYy9H_zLArSs6XnS0tonCP7EtnjkWSjm</t>
  </si>
  <si>
    <t>Remove teams things from miserable table when not in use</t>
  </si>
  <si>
    <t>ESW</t>
  </si>
  <si>
    <t>https://drive.google.com/open?id=1n9E8iMrdcuLE-S7YWD0QFdQPTbw_ASXM</t>
  </si>
  <si>
    <t>Remove team’s things from reservable table when not in use</t>
  </si>
  <si>
    <t>Steel Bridge</t>
  </si>
  <si>
    <t>https://drive.google.com/open?id=1IiOsx9cC44RRxC1rZpDA9S1cAXw0-1dV</t>
  </si>
  <si>
    <t xml:space="preserve">Please move as much of the metal stock as possible onto the lowest storage shelf  and consolidate the rest to clear the walkway. </t>
  </si>
  <si>
    <t>https://drive.google.com/open?id=1GeBWk2YHdB5lxc4Ks54YSWOsGuOgR29n</t>
  </si>
  <si>
    <t xml:space="preserve">Move materials that are blocking the equipment in the hallway. Can relocate to basement of rhodes hall (storage cages) rhodes penthouse storage cages, or the high volt lab.  Consult with operations staff. </t>
  </si>
  <si>
    <t>https://drive.google.com/open?id=1Sxgx7LoZNK5bS7JrQSzKlFpmebduI5MZ</t>
  </si>
  <si>
    <t xml:space="preserve">Move materials to storage. </t>
  </si>
  <si>
    <t>https://drive.google.com/open?id=1dZBknIO9wAfF2yogyx4h_it3hjqU7Hb6</t>
  </si>
  <si>
    <t>https://drive.google.com/open?id=1Eur9CX_es2zhaRGL9CkYPvSJQryCmXBO</t>
  </si>
  <si>
    <t xml:space="preserve">Tidy up area, store chemicals and remove excess cardboard from upper shelving. </t>
  </si>
  <si>
    <t>https://drive.google.com/open?id=1VXHv8A1J6d84DRsp3ztoxUEPNsEWvIUt</t>
  </si>
  <si>
    <t xml:space="preserve">Store fuel and flammables (not in hot work area), clear access areas for eye wash and electrical panel. </t>
  </si>
  <si>
    <t>https://drive.google.com/open?id=1ymY04ayEDichfhr93CXiBWvmyY-9MAy8</t>
  </si>
  <si>
    <t>Move field test extinguishers to storage</t>
  </si>
  <si>
    <t>https://drive.google.com/open?id=1-5zH3kfAOTfFAemrPT6JUNMwQC2geGTL</t>
  </si>
  <si>
    <t>Reroute cables to eliminate tripping hazard</t>
  </si>
  <si>
    <t>https://drive.google.com/open?id=1piiK5nWmTlQO2SDuG9uLGfZcZ3IfgQIm</t>
  </si>
  <si>
    <t xml:space="preserve">Tidy up hallway and toss recycling. </t>
  </si>
  <si>
    <t>https://drive.google.com/open?id=1pMGblt_xj3L9UkKzdDwZa2Jzxiq5mozv</t>
  </si>
  <si>
    <t>Remove plywood from b60</t>
  </si>
  <si>
    <t>Ivory -    Below Standards (address in 14-21 days)</t>
  </si>
  <si>
    <t>https://drive.google.com/open?id=197mQTgsCe_4Lqls0jAUk_rnT5RKpErG2</t>
  </si>
  <si>
    <t xml:space="preserve">Use shop vac to clean up sawdust/debris </t>
  </si>
  <si>
    <t>https://drive.google.com/open?id=1bdY0aZ9opcN6t_Jj0-7h8h1MDLdVi_ZL</t>
  </si>
  <si>
    <t xml:space="preserve">Area near paint booth needs picking up. Not sure which team's materials these are. </t>
  </si>
  <si>
    <t>https://drive.google.com/open?id=1iOJWkEejMvijXob_rhDXUeHslAd4laYN</t>
  </si>
  <si>
    <t>Wheelchair cannot be blocking the electrical panel. Chair moved out of the way.</t>
  </si>
  <si>
    <t>Nh428</t>
  </si>
  <si>
    <t>https://drive.google.com/open?id=12B-9rB2hdSCYwngV6_Ps2_-tBwbC_xsY</t>
  </si>
  <si>
    <t>Materials in fire lane, unsure of whose</t>
  </si>
  <si>
    <t>https://drive.google.com/open?id=1G2Hax0RSCyVwEUURElK7o2C9EIR9KdDk</t>
  </si>
  <si>
    <t>Please pick up these new vacuums and dust control lids for the mix crew and bring them to the HVL ASAP</t>
  </si>
  <si>
    <t>https://drive.google.com/open?id=1dsW-H0n7DZvHBvsi6AOY_4LsJpGdsyRj</t>
  </si>
  <si>
    <t xml:space="preserve">Need to clean up CEV space in composites lab by end of day Wednesday for fire inspection. </t>
  </si>
  <si>
    <t>https://drive.google.com/open?id=1ki7v4nFCI88KEppqhRE-QyFNxWm_YwEM</t>
  </si>
  <si>
    <t>Clear panel access areas</t>
  </si>
  <si>
    <t>https://drive.google.com/open?id=1nR7RLvHjbAS8MFvnLgpx2j1aRMe4P812</t>
  </si>
  <si>
    <t>Move cones to avoid blocking extinguisher</t>
  </si>
  <si>
    <t>https://drive.google.com/open?id=11PKC4BzJgcJ6OxM43nSFywrXKQV-qj4Z</t>
  </si>
  <si>
    <t xml:space="preserve">Move materials to Rhodes basement cages or HVL to clear hallway </t>
  </si>
  <si>
    <t>https://drive.google.com/open?id=1ryDai6C-m7tpWQipCHZinxgjT5EwpJ3w</t>
  </si>
  <si>
    <t>Move materials to Rhodes storage or HVL to clear hallway</t>
  </si>
  <si>
    <t>https://drive.google.com/open?id=1to3zKfiqP5pSmoXTjMb11puq3qxbQUhk</t>
  </si>
  <si>
    <t xml:space="preserve">Clean up and organize composites space. Remove combustibles. Use Rhodes basement cages or HVL for storage if necessary </t>
  </si>
  <si>
    <t>https://drive.google.com/open?id=1RWYNAcqHGg2S5swtIQFLLkbkRavyk9i_</t>
  </si>
  <si>
    <t xml:space="preserve">Remove/ store material rolls </t>
  </si>
  <si>
    <t>https://drive.google.com/open?id=18aDWjAopFZClybVzoy9VYApFcTkAnhEr</t>
  </si>
  <si>
    <t xml:space="preserve">Clear floor as much as possible </t>
  </si>
  <si>
    <t>Design Build Fly</t>
  </si>
  <si>
    <t>https://drive.google.com/open?id=1aLQZOt63rSPcMQdCmvzQe66XrebwpcgM</t>
  </si>
  <si>
    <t>Generator must be empty of fuel or moved to HVL or Rhodes penthouse</t>
  </si>
  <si>
    <t>https://drive.google.com/open?id=1dAHvHu_sGzkcmCqsU--UuFco0dnsz7DR</t>
  </si>
  <si>
    <t>Consolidate work area and clear aisle</t>
  </si>
  <si>
    <t>Coveralls should be placed into the cardboard bin containing the rest of them. The composites closet was organized recently but coveralls were strewn about the floor.</t>
  </si>
  <si>
    <t>Rocketry</t>
  </si>
  <si>
    <t xml:space="preserve">Please remove propane tank from inside HVL before 2pm today if at all possible. You can leave it in the back of the project truck if you need to. </t>
  </si>
  <si>
    <t>https://drive.google.com/open?id=1infbLKH5ZD_R61t0DwNFnwvUNHASc9vt</t>
  </si>
  <si>
    <t xml:space="preserve">Parts for your mix team vacuums are in Noah’s office. Pick them up any time. </t>
  </si>
  <si>
    <t>https://drive.google.com/open?id=1v_wL6ihOmYNmNpa0LP4SyI2JM7SoGNYP</t>
  </si>
  <si>
    <t>Empty and return recycling container</t>
  </si>
  <si>
    <t>https://drive.google.com/open?id=1ocbQXMShsQdXb2SaCoh1_dJXSU7IB2xF</t>
  </si>
  <si>
    <t xml:space="preserve">Move cars onto Cornell property near HVL. </t>
  </si>
  <si>
    <t>CU Sail</t>
  </si>
  <si>
    <t>https://drive.google.com/open?id=1gsRIqZ-1kiVnHYbPxfT1nURl-tigpH5i</t>
  </si>
  <si>
    <t>Do not put hardening chemicals in paint funnel</t>
  </si>
  <si>
    <t>https://drive.google.com/open?id=1F82Tvx4SilRigp6eDacyCLzAEgyw-uFI</t>
  </si>
  <si>
    <t xml:space="preserve">Clean up after work sessions so paints and chemicals don’t get tracked across floor. </t>
  </si>
  <si>
    <t xml:space="preserve">Please make signage to post on fire doors. </t>
  </si>
  <si>
    <t>https://drive.google.com/open?id=1dUWD9AZ0oqOosQ33CrcMrOpY2daYJEtc</t>
  </si>
  <si>
    <t xml:space="preserve">Please collect boxes from mail room asap. </t>
  </si>
  <si>
    <t>https://drive.google.com/open?id=1XvsdCPXTvfjb9a21J4vl1XQqIMTGTpCI</t>
  </si>
  <si>
    <t xml:space="preserve">Move boat and plywood stand asap so they do not block hallway. </t>
  </si>
  <si>
    <t>https://drive.google.com/open?id=1_yoF506zHTqqo13tLAx5ooGjWFPE47GN</t>
  </si>
  <si>
    <t>Disassemble and or move test stand in Rhodes basement. Can move to storage shelves in HVL</t>
  </si>
  <si>
    <t>https://drive.google.com/open?id=1-ot_JLU13fRyngylhsY-gTNB_9h16agp</t>
  </si>
  <si>
    <t xml:space="preserve">Move drum blocking fire extinguisher and open up building egress path. </t>
  </si>
  <si>
    <t>https://drive.google.com/open?id=1hVGW4RTVkb3mmeajBbDi1odjULLxiaWG</t>
  </si>
  <si>
    <t xml:space="preserve">Clear access to eye wash </t>
  </si>
  <si>
    <t>https://drive.google.com/open?id=1WLHH2FiMXsCTwKRs9YALBLYZMLSsa0lb</t>
  </si>
  <si>
    <t xml:space="preserve">Clear access to panel and secure gas cylinder </t>
  </si>
  <si>
    <t>https://drive.google.com/open?id=1NsfcWujvs3TTNRhilGEHClXymOREAUxF</t>
  </si>
  <si>
    <t xml:space="preserve">Clear access to eye wash. </t>
  </si>
  <si>
    <t>https://drive.google.com/open?id=1YMj0cKxb0eeWJV8k0_J-Y1PAr12tE_By</t>
  </si>
  <si>
    <t>Move propane bottle to loading dock and label</t>
  </si>
  <si>
    <t>https://drive.google.com/open?id=19DGewlgof6dncC8xL3R1sAWQLxyKGssZ</t>
  </si>
  <si>
    <t>Remove ‘baja’ paint from concrete wall</t>
  </si>
  <si>
    <t>https://drive.google.com/open?id=1IJtwfoPELePLNDC96MM-gKSGtG8qLH7Z</t>
  </si>
  <si>
    <t>B60 is looking pretty rough and needs to be cleaned. Pick everything up off the floor so building care can clean the carpet and minimize greasy / fab activity</t>
  </si>
  <si>
    <t>https://drive.google.com/open?id=1YCHh_AFaNIsLQ9vebjX5Ikf4TZYaXtg5</t>
  </si>
  <si>
    <t xml:space="preserve">Assuming this is CEVs should not be left in hallway. </t>
  </si>
  <si>
    <t>https://drive.google.com/open?id=1TcIPhgMmmaDuX0vUH89ZPDiJMOX4zieJ</t>
  </si>
  <si>
    <t>Disassemble wood frame (tools in Noah’s office.)</t>
  </si>
  <si>
    <t>Mhh5</t>
  </si>
  <si>
    <t>https://drive.google.com/open?id=1sqCDzIixuUzJtndPY0POokvENF5GJD3q</t>
  </si>
  <si>
    <t xml:space="preserve">Move coolers, cart and shade canopies to penthouse. </t>
  </si>
  <si>
    <t>https://drive.google.com/open?id=1I3ZSYWb8dobHDzoMqXnvraed3Rd-BVH1</t>
  </si>
  <si>
    <t xml:space="preserve">Unbolt pipe bender and stow behind spray booth in the hallway. </t>
  </si>
  <si>
    <t>https://drive.google.com/open?id=1XxOXx7Qf7b79VD6vZSTZ2gb40NxCj9Tm</t>
  </si>
  <si>
    <t xml:space="preserve">Move hard cases to penthouse </t>
  </si>
  <si>
    <t>https://drive.google.com/open?id=1V46lOtsseIaa18hiAJv2Gwd6QUfhCORO</t>
  </si>
  <si>
    <t xml:space="preserve">Cleanup and organize storage cages in Rhodes basement. </t>
  </si>
  <si>
    <t>https://drive.google.com/open?id=1-s9gPEfmxMBi3y0VKnIKd3DW327yANhJ</t>
  </si>
  <si>
    <t>Clean up spray booth. (Wear gloves and mask!)</t>
  </si>
  <si>
    <t>Combat Robotics</t>
  </si>
  <si>
    <t>https://drive.google.com/open?id=1iclud4YzEUbdxx49NUqUydpRCkILVc-1</t>
  </si>
  <si>
    <t>Testing- please forward the notification email to Noah at nhh5@cornell.edu</t>
  </si>
  <si>
    <r>
      <rPr>
        <rFont val="Arial"/>
        <b/>
        <color rgb="FFFF0000"/>
        <sz val="14.0"/>
      </rPr>
      <t xml:space="preserve">Highlight of pending actions - </t>
    </r>
    <r>
      <rPr>
        <rFont val="Arial"/>
        <b/>
        <color rgb="FF0000FF"/>
        <sz val="14.0"/>
      </rPr>
      <t>Avoid duplication of status reports</t>
    </r>
    <r>
      <rPr>
        <rFont val="Arial"/>
        <b/>
        <color rgb="FFFF0000"/>
        <sz val="14.0"/>
      </rPr>
      <t xml:space="preserve"> - do not edit. </t>
    </r>
  </si>
  <si>
    <t>Refer to Analyses Subsheet for source data</t>
  </si>
  <si>
    <t>Team Name</t>
  </si>
  <si>
    <t>Issue Type</t>
  </si>
  <si>
    <t>Issue Severity</t>
  </si>
  <si>
    <t>Date</t>
  </si>
  <si>
    <t>Assigned Week #</t>
  </si>
  <si>
    <t>Full Size Charts on Dashboard v2</t>
  </si>
  <si>
    <t>Week #</t>
  </si>
  <si>
    <t>Num. Issues</t>
  </si>
  <si>
    <t>Form Name</t>
  </si>
  <si>
    <t>Location</t>
  </si>
  <si>
    <t>Notes</t>
  </si>
  <si>
    <t>AguaClara</t>
  </si>
  <si>
    <t>Unassigned</t>
  </si>
  <si>
    <t>aguaclara@cornell.edu</t>
  </si>
  <si>
    <t>AppDev</t>
  </si>
  <si>
    <t>team@cornellappdev.com</t>
  </si>
  <si>
    <t>ELL</t>
  </si>
  <si>
    <t>cornellautoboat@gmail.com</t>
  </si>
  <si>
    <t>Autonomous Drone</t>
  </si>
  <si>
    <t>cuautodrone@gmail.com</t>
  </si>
  <si>
    <t>Location unknown</t>
  </si>
  <si>
    <t>Autonomous Sailboat</t>
  </si>
  <si>
    <t>cusail@cornell.edu</t>
  </si>
  <si>
    <t>Autonomous Underwater Vehicle</t>
  </si>
  <si>
    <t>CUAUV</t>
  </si>
  <si>
    <t>cuauvleader@gmail.com</t>
  </si>
  <si>
    <t>baja@cornell.edu</t>
  </si>
  <si>
    <t xml:space="preserve">Biomedical Device </t>
  </si>
  <si>
    <t>cubmd@gmail.com</t>
  </si>
  <si>
    <t>Assigned to reservable bench</t>
  </si>
  <si>
    <t>ChemE Car</t>
  </si>
  <si>
    <t>cuchemecar@cornell.edu</t>
  </si>
  <si>
    <t>Emailed listed is for "business inquires"</t>
  </si>
  <si>
    <t>combatrobotics@cornell.edu</t>
  </si>
  <si>
    <t>HVL</t>
  </si>
  <si>
    <t>concrete-canoe@cornell.edu</t>
  </si>
  <si>
    <t xml:space="preserve">Cornell Assistive Technologies </t>
  </si>
  <si>
    <t>cornellassist@gmail.com</t>
  </si>
  <si>
    <t>Unmanned Air System</t>
  </si>
  <si>
    <t>cuair.mae@gmail.com</t>
  </si>
  <si>
    <t>Custom Silicon Systems</t>
  </si>
  <si>
    <t>c2s2@cornell.edu</t>
  </si>
  <si>
    <t>Data Science</t>
  </si>
  <si>
    <t>cornelldatascience@gmail.com</t>
  </si>
  <si>
    <t>debut@cornell.edu</t>
  </si>
  <si>
    <t>designbuildfly@cornell.edu</t>
  </si>
  <si>
    <t>Digtal Tech and Innovation</t>
  </si>
  <si>
    <t>hello@cornelldti.org</t>
  </si>
  <si>
    <t>Verify email (if necessary)</t>
  </si>
  <si>
    <t>Electric Vehicles</t>
  </si>
  <si>
    <t>cornellev@cornell.edu</t>
  </si>
  <si>
    <t>Engineering World Health</t>
  </si>
  <si>
    <t>ewhcornell@gmail.com</t>
  </si>
  <si>
    <t>Engineerings Without Boarders</t>
  </si>
  <si>
    <t>ewbcornell@gmail.com</t>
  </si>
  <si>
    <t>Engineers for a Sustainable World</t>
  </si>
  <si>
    <t>eswprojectteam@cornell.edu</t>
  </si>
  <si>
    <t>Engineers in Action</t>
  </si>
  <si>
    <t>eiacornelluniversity@gmail.com</t>
  </si>
  <si>
    <t>Extended Reality</t>
  </si>
  <si>
    <t>cornellxrclub@gmail.com</t>
  </si>
  <si>
    <t>FSAE Racing</t>
  </si>
  <si>
    <t>Auto</t>
  </si>
  <si>
    <t>cufsae@cornell.edu</t>
  </si>
  <si>
    <t>GeoData</t>
  </si>
  <si>
    <t>cugeodatateam@gmail.com</t>
  </si>
  <si>
    <t>Hack4Impact</t>
  </si>
  <si>
    <t>cornell@hack4impact.org</t>
  </si>
  <si>
    <t>Hyperloop</t>
  </si>
  <si>
    <t>cornellhyperloop@gmail.com</t>
  </si>
  <si>
    <t>iGEM</t>
  </si>
  <si>
    <t>cornelligem@gmail.com</t>
  </si>
  <si>
    <t>cornellmarsrover@gmail.com</t>
  </si>
  <si>
    <t>Nexus</t>
  </si>
  <si>
    <t>nexus@cornell.edu</t>
  </si>
  <si>
    <t>rocketry@cornell.edu</t>
  </si>
  <si>
    <t>Seismic Design</t>
  </si>
  <si>
    <t>hfj46@cornell.edu</t>
  </si>
  <si>
    <t>No team email listed; this email is for a lead.</t>
  </si>
  <si>
    <t>SensTech</t>
  </si>
  <si>
    <t>cornellsenstech@gmail.com</t>
  </si>
  <si>
    <t>Solar Boat</t>
  </si>
  <si>
    <t>solarboatcornell@gmail.com</t>
  </si>
  <si>
    <t>steelbridge@cornell.edu</t>
  </si>
  <si>
    <t>Confirm location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</si>
</sst>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yyyy h:mm:ss"/>
    <numFmt numFmtId="166" formatCode="m/d/yyyy"/>
    <numFmt numFmtId="167" formatCode="m/d/yy"/>
    <numFmt numFmtId="168" formatCode="m/d"/>
  </numFmts>
  <fonts count="13">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
      <sz val="11.0"/>
      <color rgb="FF0A0A0A"/>
      <name val="Arial"/>
      <scheme val="minor"/>
    </font>
    <font>
      <sz val="14.0"/>
      <color theme="1"/>
      <name val="Arial"/>
      <scheme val="minor"/>
    </font>
    <font>
      <b/>
      <color theme="1"/>
      <name val="Arial"/>
      <scheme val="minor"/>
    </font>
    <font>
      <b/>
      <sz val="12.0"/>
      <color theme="1"/>
      <name val="Arial"/>
      <scheme val="minor"/>
    </font>
    <font>
      <u/>
      <color rgb="FF0000FF"/>
    </font>
    <font>
      <u/>
      <color rgb="FF0000FF"/>
    </font>
    <font/>
  </fonts>
  <fills count="5">
    <fill>
      <patternFill patternType="none"/>
    </fill>
    <fill>
      <patternFill patternType="lightGray"/>
    </fill>
    <fill>
      <patternFill patternType="solid">
        <fgColor rgb="FFF0F2F5"/>
        <bgColor rgb="FFF0F2F5"/>
      </patternFill>
    </fill>
    <fill>
      <patternFill patternType="solid">
        <fgColor rgb="FFFFF2CC"/>
        <bgColor rgb="FFFFF2CC"/>
      </patternFill>
    </fill>
    <fill>
      <patternFill patternType="solid">
        <fgColor rgb="FFD9D9D9"/>
        <bgColor rgb="FFD9D9D9"/>
      </patternFill>
    </fill>
  </fills>
  <borders count="3">
    <border/>
    <border>
      <left style="thin">
        <color rgb="FF000000"/>
      </left>
    </border>
    <border>
      <right style="thin">
        <color rgb="FF000000"/>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xf>
    <xf borderId="0" fillId="0" fontId="1" numFmtId="165"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4" xfId="0" applyAlignment="1" applyFont="1" applyNumberFormat="1">
      <alignment horizontal="left"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0" fontId="1" numFmtId="164" xfId="0" applyAlignment="1" applyFont="1" applyNumberFormat="1">
      <alignment horizontal="lef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14" xfId="0" applyAlignment="1" applyFont="1" applyNumberFormat="1">
      <alignment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8"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6" numFmtId="164" xfId="0" applyAlignment="1" applyFill="1" applyFont="1" applyNumberFormat="1">
      <alignment horizontal="left" shrinkToFit="0" vertical="center" wrapText="0"/>
    </xf>
    <xf borderId="0" fillId="0" fontId="1" numFmtId="164" xfId="0" applyAlignment="1" applyFont="1" applyNumberFormat="1">
      <alignment horizontal="left" shrinkToFit="0" vertical="center" wrapText="0"/>
    </xf>
    <xf borderId="0" fillId="0" fontId="7" numFmtId="0" xfId="0" applyAlignment="1" applyFont="1">
      <alignment horizontal="center" readingOrder="0" vertical="center"/>
    </xf>
    <xf borderId="0" fillId="0" fontId="8" numFmtId="0" xfId="0" applyAlignment="1" applyFont="1">
      <alignment horizontal="left"/>
    </xf>
    <xf borderId="0" fillId="0" fontId="9" numFmtId="0" xfId="0" applyAlignment="1" applyFont="1">
      <alignment horizontal="left"/>
    </xf>
    <xf borderId="0" fillId="0" fontId="9" numFmtId="0" xfId="0" applyAlignment="1" applyFont="1">
      <alignment horizontal="left" readingOrder="0"/>
    </xf>
    <xf borderId="0" fillId="0" fontId="1" numFmtId="0" xfId="0" applyAlignment="1" applyFont="1">
      <alignment horizontal="left" readingOrder="0"/>
    </xf>
    <xf borderId="0" fillId="0" fontId="10" numFmtId="0" xfId="0" applyAlignment="1" applyFont="1">
      <alignment horizontal="left" readingOrder="0"/>
    </xf>
    <xf borderId="0" fillId="0" fontId="1" numFmtId="14" xfId="0" applyAlignment="1" applyFont="1" applyNumberFormat="1">
      <alignment horizontal="left" readingOrder="0"/>
    </xf>
    <xf borderId="0" fillId="0" fontId="1" numFmtId="164" xfId="0" applyAlignment="1" applyFont="1" applyNumberFormat="1">
      <alignment horizontal="left" readingOrder="0"/>
    </xf>
    <xf borderId="0" fillId="0" fontId="11" numFmtId="0" xfId="0" applyAlignment="1" applyFont="1">
      <alignment horizontal="left"/>
    </xf>
    <xf borderId="0" fillId="0" fontId="1" numFmtId="14" xfId="0" applyAlignment="1" applyFont="1" applyNumberFormat="1">
      <alignment horizontal="left"/>
    </xf>
    <xf borderId="0" fillId="3" fontId="8" numFmtId="0" xfId="0" applyAlignment="1" applyFill="1" applyFont="1">
      <alignment readingOrder="0"/>
    </xf>
    <xf borderId="0" fillId="4" fontId="8" numFmtId="0" xfId="0" applyAlignment="1" applyFill="1" applyFont="1">
      <alignment readingOrder="0"/>
    </xf>
    <xf borderId="1" fillId="3" fontId="8" numFmtId="0" xfId="0" applyAlignment="1" applyBorder="1" applyFont="1">
      <alignment horizontal="center" readingOrder="0"/>
    </xf>
    <xf borderId="2" fillId="0" fontId="12" numFmtId="0" xfId="0" applyBorder="1" applyFont="1"/>
    <xf borderId="0" fillId="4" fontId="8" numFmtId="0" xfId="0" applyFont="1"/>
    <xf borderId="0" fillId="0" fontId="1" numFmtId="0" xfId="0" applyFont="1"/>
    <xf borderId="1" fillId="0" fontId="1" numFmtId="0" xfId="0" applyBorder="1" applyFont="1"/>
    <xf borderId="2" fillId="0" fontId="1" numFmtId="0" xfId="0" applyBorder="1" applyFont="1"/>
    <xf borderId="0" fillId="0" fontId="1" numFmtId="0" xfId="0" applyAlignment="1" applyFont="1">
      <alignment readingOrder="0"/>
    </xf>
    <xf borderId="0" fillId="0" fontId="1" numFmtId="165" xfId="0" applyFont="1" applyNumberFormat="1"/>
    <xf borderId="0" fillId="0" fontId="1" numFmtId="0" xfId="0" applyFont="1"/>
    <xf borderId="0" fillId="3" fontId="1" numFmtId="0" xfId="0" applyAlignment="1" applyFont="1">
      <alignment readingOrder="0"/>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EA9999"/>
          <bgColor rgb="FFEA9999"/>
        </patternFill>
      </fill>
      <border/>
    </dxf>
    <dxf>
      <font/>
      <fill>
        <patternFill patternType="solid">
          <fgColor rgb="FFF6B26B"/>
          <bgColor rgb="FFF6B26B"/>
        </patternFill>
      </fill>
      <border/>
    </dxf>
    <dxf>
      <font/>
      <fill>
        <patternFill patternType="solid">
          <fgColor rgb="FFFFE599"/>
          <bgColor rgb="FFFFE599"/>
        </patternFill>
      </fill>
      <border/>
    </dxf>
    <dxf>
      <font/>
      <fill>
        <patternFill patternType="solid">
          <fgColor rgb="FFF5EDE4"/>
          <bgColor rgb="FFF5EDE4"/>
        </patternFill>
      </fill>
      <border/>
    </dxf>
    <dxf>
      <font/>
      <fill>
        <patternFill patternType="solid">
          <fgColor rgb="FFD9D2E9"/>
          <bgColor rgb="FFD9D2E9"/>
        </patternFill>
      </fill>
      <border/>
    </dxf>
  </dxfs>
  <tableStyles count="2">
    <tableStyle count="4" pivot="0" name="Form Responses-style">
      <tableStyleElement dxfId="1" type="headerRow"/>
      <tableStyleElement dxfId="2" type="firstRowStripe"/>
      <tableStyleElement dxfId="3" type="secondRowStripe"/>
      <tableStyleElement dxfId="4" size="0" type="wholeTable"/>
    </tableStyle>
    <tableStyle count="2" pivot="0" name="Pending Action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Issues by Week</a:t>
            </a:r>
          </a:p>
        </c:rich>
      </c:tx>
      <c:overlay val="0"/>
    </c:title>
    <c:plotArea>
      <c:layout/>
      <c:barChart>
        <c:barDir val="col"/>
        <c:ser>
          <c:idx val="0"/>
          <c:order val="0"/>
          <c:tx>
            <c:strRef>
              <c:f>'(WIP) Analysis'!$N$1</c:f>
            </c:strRef>
          </c:tx>
          <c:spPr>
            <a:solidFill>
              <a:srgbClr val="EA9999"/>
            </a:solidFill>
            <a:ln cmpd="sng">
              <a:noFill/>
            </a:ln>
          </c:spPr>
          <c:cat>
            <c:strRef>
              <c:f>'(WIP) Analysis'!$M$2:$M$200</c:f>
            </c:strRef>
          </c:cat>
          <c:val>
            <c:numRef>
              <c:f>'(WIP) Analysis'!$N$2:$N$200</c:f>
              <c:numCache/>
            </c:numRef>
          </c:val>
        </c:ser>
        <c:axId val="1261115184"/>
        <c:axId val="1424707715"/>
      </c:barChart>
      <c:catAx>
        <c:axId val="1261115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4707715"/>
      </c:catAx>
      <c:valAx>
        <c:axId val="1424707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 Issues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611151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Issues by Week</a:t>
            </a:r>
          </a:p>
        </c:rich>
      </c:tx>
      <c:overlay val="0"/>
    </c:title>
    <c:plotArea>
      <c:layout/>
      <c:barChart>
        <c:barDir val="col"/>
        <c:ser>
          <c:idx val="0"/>
          <c:order val="0"/>
          <c:tx>
            <c:strRef>
              <c:f>'(WIP) Analysis'!$N$1</c:f>
            </c:strRef>
          </c:tx>
          <c:spPr>
            <a:solidFill>
              <a:srgbClr val="EA9999"/>
            </a:solidFill>
            <a:ln cmpd="sng">
              <a:noFill/>
            </a:ln>
          </c:spPr>
          <c:cat>
            <c:strRef>
              <c:f>'(WIP) Analysis'!$M$2:$M$200</c:f>
            </c:strRef>
          </c:cat>
          <c:val>
            <c:numRef>
              <c:f>'(WIP) Analysis'!$N$2:$N$200</c:f>
              <c:numCache/>
            </c:numRef>
          </c:val>
        </c:ser>
        <c:axId val="1859720408"/>
        <c:axId val="2054862122"/>
      </c:barChart>
      <c:catAx>
        <c:axId val="1859720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4862122"/>
      </c:catAx>
      <c:valAx>
        <c:axId val="2054862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 Issues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972040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5.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66675</xdr:rowOff>
    </xdr:from>
    <xdr:ext cx="4714875" cy="3114675"/>
    <xdr:pic>
      <xdr:nvPicPr>
        <xdr:cNvPr id="163602251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xdr:row>
      <xdr:rowOff>66675</xdr:rowOff>
    </xdr:from>
    <xdr:ext cx="4714875" cy="3114675"/>
    <xdr:pic>
      <xdr:nvPicPr>
        <xdr:cNvPr id="113294375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57150</xdr:colOff>
      <xdr:row>1</xdr:row>
      <xdr:rowOff>66675</xdr:rowOff>
    </xdr:from>
    <xdr:ext cx="6562725" cy="40386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xdr:row>
      <xdr:rowOff>19050</xdr:rowOff>
    </xdr:from>
    <xdr:ext cx="3800475" cy="2371725"/>
    <xdr:pic>
      <xdr:nvPicPr>
        <xdr:cNvPr id="282844859"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xdr:colOff>
      <xdr:row>13</xdr:row>
      <xdr:rowOff>66675</xdr:rowOff>
    </xdr:from>
    <xdr:ext cx="3800475" cy="2371725"/>
    <xdr:pic>
      <xdr:nvPicPr>
        <xdr:cNvPr id="1906508751"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9525</xdr:colOff>
      <xdr:row>25</xdr:row>
      <xdr:rowOff>114300</xdr:rowOff>
    </xdr:from>
    <xdr:ext cx="3800475" cy="23717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04" displayName="Form_Responses" name="Form_Responses" id="1">
  <tableColumns count="11">
    <tableColumn name="Timestamp" id="1"/>
    <tableColumn name="Email Address" id="2"/>
    <tableColumn name="NetID" id="3"/>
    <tableColumn name="Responsible Team " id="4"/>
    <tableColumn name="Current Status" id="5"/>
    <tableColumn name="Photo Upload" id="6"/>
    <tableColumn name="Issue Description" id="7"/>
    <tableColumn name="Required Actions / Comments" id="8"/>
    <tableColumn name="Email Tracking" id="9"/>
    <tableColumn name="Deadline" id="10"/>
    <tableColumn name="Cleared" id="11"/>
  </tableColumns>
  <tableStyleInfo name="Form Responses-style" showColumnStripes="0" showFirstColumn="1" showLastColumn="1" showRowStripes="1"/>
</table>
</file>

<file path=xl/tables/table2.xml><?xml version="1.0" encoding="utf-8"?>
<table xmlns="http://schemas.openxmlformats.org/spreadsheetml/2006/main" headerRowCount="0" ref="A2:A41" displayName="Table_1" name="Table_1" id="2">
  <tableColumns count="1">
    <tableColumn name="Column1" id="1"/>
  </tableColumns>
  <tableStyleInfo name="Pending A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hQCTHk3xslj4m24P7CZZmpTwX5Fp_k7c" TargetMode="External"/><Relationship Id="rId84" Type="http://schemas.openxmlformats.org/officeDocument/2006/relationships/hyperlink" Target="https://drive.google.com/open?id=19DGewlgof6dncC8xL3R1sAWQLxyKGssZ" TargetMode="External"/><Relationship Id="rId83" Type="http://schemas.openxmlformats.org/officeDocument/2006/relationships/hyperlink" Target="https://drive.google.com/open?id=1YMj0cKxb0eeWJV8k0_J-Y1PAr12tE_By" TargetMode="External"/><Relationship Id="rId42" Type="http://schemas.openxmlformats.org/officeDocument/2006/relationships/hyperlink" Target="https://drive.google.com/open?id=1H96S9ivvB4e3WGdp0t18sEs4wTBBL_di" TargetMode="External"/><Relationship Id="rId86" Type="http://schemas.openxmlformats.org/officeDocument/2006/relationships/hyperlink" Target="https://drive.google.com/open?id=1YCHh_AFaNIsLQ9vebjX5Ikf4TZYaXtg5" TargetMode="External"/><Relationship Id="rId41" Type="http://schemas.openxmlformats.org/officeDocument/2006/relationships/hyperlink" Target="https://drive.google.com/open?id=123AIpsKqNibRFF3EB1mKLcqO3XH4F6Ds" TargetMode="External"/><Relationship Id="rId85" Type="http://schemas.openxmlformats.org/officeDocument/2006/relationships/hyperlink" Target="https://drive.google.com/open?id=1IJtwfoPELePLNDC96MM-gKSGtG8qLH7Z" TargetMode="External"/><Relationship Id="rId44" Type="http://schemas.openxmlformats.org/officeDocument/2006/relationships/hyperlink" Target="https://drive.google.com/open?id=1FYy9H_zLArSs6XnS0tonCP7EtnjkWSjm" TargetMode="External"/><Relationship Id="rId88" Type="http://schemas.openxmlformats.org/officeDocument/2006/relationships/hyperlink" Target="https://drive.google.com/open?id=1sqCDzIixuUzJtndPY0POokvENF5GJD3q" TargetMode="External"/><Relationship Id="rId43" Type="http://schemas.openxmlformats.org/officeDocument/2006/relationships/hyperlink" Target="https://drive.google.com/open?id=1gwY0e1fP97A6wn3fchNxHbcOBaLPp_qo" TargetMode="External"/><Relationship Id="rId87" Type="http://schemas.openxmlformats.org/officeDocument/2006/relationships/hyperlink" Target="https://drive.google.com/open?id=1TcIPhgMmmaDuX0vUH89ZPDiJMOX4zieJ" TargetMode="External"/><Relationship Id="rId46" Type="http://schemas.openxmlformats.org/officeDocument/2006/relationships/hyperlink" Target="https://drive.google.com/open?id=1IiOsx9cC44RRxC1rZpDA9S1cAXw0-1dV" TargetMode="External"/><Relationship Id="rId45" Type="http://schemas.openxmlformats.org/officeDocument/2006/relationships/hyperlink" Target="https://drive.google.com/open?id=1n9E8iMrdcuLE-S7YWD0QFdQPTbw_ASXM" TargetMode="External"/><Relationship Id="rId89" Type="http://schemas.openxmlformats.org/officeDocument/2006/relationships/hyperlink" Target="https://drive.google.com/open?id=1I3ZSYWb8dobHDzoMqXnvraed3Rd-BVH1" TargetMode="External"/><Relationship Id="rId80" Type="http://schemas.openxmlformats.org/officeDocument/2006/relationships/hyperlink" Target="https://drive.google.com/open?id=1hVGW4RTVkb3mmeajBbDi1odjULLxiaWG" TargetMode="External"/><Relationship Id="rId82" Type="http://schemas.openxmlformats.org/officeDocument/2006/relationships/hyperlink" Target="https://drive.google.com/open?id=1NsfcWujvs3TTNRhilGEHClXymOREAUxF" TargetMode="External"/><Relationship Id="rId81" Type="http://schemas.openxmlformats.org/officeDocument/2006/relationships/hyperlink" Target="https://drive.google.com/open?id=1WLHH2FiMXsCTwKRs9YALBLYZMLSsa0lb" TargetMode="External"/><Relationship Id="rId1" Type="http://schemas.openxmlformats.org/officeDocument/2006/relationships/hyperlink" Target="https://drive.google.com/open?id=1o2qJINxEtIWecc01_T3hwMHrd5eQW7Di" TargetMode="External"/><Relationship Id="rId2" Type="http://schemas.openxmlformats.org/officeDocument/2006/relationships/hyperlink" Target="https://drive.google.com/open?id=1Cj39FQhlasJjzh3Sf41upPlEaOf7NAC0" TargetMode="External"/><Relationship Id="rId3" Type="http://schemas.openxmlformats.org/officeDocument/2006/relationships/hyperlink" Target="https://drive.google.com/open?id=1Mc8D5g7mozMYaAZcBsNgDAp901dBI9qT" TargetMode="External"/><Relationship Id="rId4" Type="http://schemas.openxmlformats.org/officeDocument/2006/relationships/hyperlink" Target="https://drive.google.com/open?id=1fUkZ-J4_Kys5RAB58s01JW6v30eo9AzT" TargetMode="External"/><Relationship Id="rId9" Type="http://schemas.openxmlformats.org/officeDocument/2006/relationships/hyperlink" Target="https://drive.google.com/open?id=1zTyHKHLN7vLoIi779WHc-U8YZIlEwKP4" TargetMode="External"/><Relationship Id="rId48" Type="http://schemas.openxmlformats.org/officeDocument/2006/relationships/hyperlink" Target="https://drive.google.com/open?id=1Sxgx7LoZNK5bS7JrQSzKlFpmebduI5MZ" TargetMode="External"/><Relationship Id="rId47" Type="http://schemas.openxmlformats.org/officeDocument/2006/relationships/hyperlink" Target="https://drive.google.com/open?id=1GeBWk2YHdB5lxc4Ks54YSWOsGuOgR29n" TargetMode="External"/><Relationship Id="rId49" Type="http://schemas.openxmlformats.org/officeDocument/2006/relationships/hyperlink" Target="https://drive.google.com/open?id=1dZBknIO9wAfF2yogyx4h_it3hjqU7Hb6" TargetMode="External"/><Relationship Id="rId5" Type="http://schemas.openxmlformats.org/officeDocument/2006/relationships/hyperlink" Target="https://drive.google.com/open?id=19rnv4vGnF9Xt7ZLx48vzx5YO834_awAw" TargetMode="External"/><Relationship Id="rId6" Type="http://schemas.openxmlformats.org/officeDocument/2006/relationships/hyperlink" Target="https://drive.google.com/open?id=1sVyU0mTazSzHvLjUdiOo4fX2uiTrtypC" TargetMode="External"/><Relationship Id="rId7" Type="http://schemas.openxmlformats.org/officeDocument/2006/relationships/hyperlink" Target="https://drive.google.com/open?id=15i9xzSWFPv9z9PeIcUNKH3ssC5nyvKvo" TargetMode="External"/><Relationship Id="rId8" Type="http://schemas.openxmlformats.org/officeDocument/2006/relationships/hyperlink" Target="https://drive.google.com/open?id=1fxgTpXNCdpgbdzmNTtu4HbDfrWtOJMTn" TargetMode="External"/><Relationship Id="rId73" Type="http://schemas.openxmlformats.org/officeDocument/2006/relationships/hyperlink" Target="https://drive.google.com/open?id=1ocbQXMShsQdXb2SaCoh1_dJXSU7IB2xF" TargetMode="External"/><Relationship Id="rId72" Type="http://schemas.openxmlformats.org/officeDocument/2006/relationships/hyperlink" Target="https://drive.google.com/open?id=1v_wL6ihOmYNmNpa0LP4SyI2JM7SoGNYP" TargetMode="External"/><Relationship Id="rId31" Type="http://schemas.openxmlformats.org/officeDocument/2006/relationships/hyperlink" Target="https://drive.google.com/open?id=1TsTIvzGNhcttVMZnPgTe3qVgU0VsCkeF" TargetMode="External"/><Relationship Id="rId75" Type="http://schemas.openxmlformats.org/officeDocument/2006/relationships/hyperlink" Target="https://drive.google.com/open?id=1F82Tvx4SilRigp6eDacyCLzAEgyw-uFI" TargetMode="External"/><Relationship Id="rId30" Type="http://schemas.openxmlformats.org/officeDocument/2006/relationships/hyperlink" Target="https://drive.google.com/open?id=1GU--yibtx14WJZ0_sNuqmbNL8j73iLRt" TargetMode="External"/><Relationship Id="rId74" Type="http://schemas.openxmlformats.org/officeDocument/2006/relationships/hyperlink" Target="https://drive.google.com/open?id=1gsRIqZ-1kiVnHYbPxfT1nURl-tigpH5i" TargetMode="External"/><Relationship Id="rId33" Type="http://schemas.openxmlformats.org/officeDocument/2006/relationships/hyperlink" Target="https://drive.google.com/open?id=1l45SBxHjJXbdD2SEDfSi3sBh1qsgbE6r" TargetMode="External"/><Relationship Id="rId77" Type="http://schemas.openxmlformats.org/officeDocument/2006/relationships/hyperlink" Target="https://drive.google.com/open?id=1XvsdCPXTvfjb9a21J4vl1XQqIMTGTpCI" TargetMode="External"/><Relationship Id="rId32" Type="http://schemas.openxmlformats.org/officeDocument/2006/relationships/hyperlink" Target="https://drive.google.com/open?id=1iomJVuZ19QsXWRUe6B02t_ql9QHyqJTr" TargetMode="External"/><Relationship Id="rId76" Type="http://schemas.openxmlformats.org/officeDocument/2006/relationships/hyperlink" Target="https://drive.google.com/open?id=1dUWD9AZ0oqOosQ33CrcMrOpY2daYJEtc" TargetMode="External"/><Relationship Id="rId35" Type="http://schemas.openxmlformats.org/officeDocument/2006/relationships/hyperlink" Target="https://drive.google.com/open?id=16-2ZzgFD8n9wZYaniPOz0w6NisXEwoO_" TargetMode="External"/><Relationship Id="rId79" Type="http://schemas.openxmlformats.org/officeDocument/2006/relationships/hyperlink" Target="https://drive.google.com/open?id=1-ot_JLU13fRyngylhsY-gTNB_9h16agp" TargetMode="External"/><Relationship Id="rId34" Type="http://schemas.openxmlformats.org/officeDocument/2006/relationships/hyperlink" Target="https://drive.google.com/open?id=1kFViKfhSK_t8CK6wcdJdNkaH7GrxyU95" TargetMode="External"/><Relationship Id="rId78" Type="http://schemas.openxmlformats.org/officeDocument/2006/relationships/hyperlink" Target="https://drive.google.com/open?id=1_yoF506zHTqqo13tLAx5ooGjWFPE47GN" TargetMode="External"/><Relationship Id="rId71" Type="http://schemas.openxmlformats.org/officeDocument/2006/relationships/hyperlink" Target="https://drive.google.com/open?id=1infbLKH5ZD_R61t0DwNFnwvUNHASc9vt" TargetMode="External"/><Relationship Id="rId70" Type="http://schemas.openxmlformats.org/officeDocument/2006/relationships/hyperlink" Target="https://drive.google.com/open?id=1dAHvHu_sGzkcmCqsU--UuFco0dnsz7DR" TargetMode="External"/><Relationship Id="rId37" Type="http://schemas.openxmlformats.org/officeDocument/2006/relationships/hyperlink" Target="https://drive.google.com/open?id=1mQ8i67BWT-5bGibx-MAF1fsWzVJgi1QP" TargetMode="External"/><Relationship Id="rId36" Type="http://schemas.openxmlformats.org/officeDocument/2006/relationships/hyperlink" Target="https://drive.google.com/open?id=18GFZyZDJ1WJcR3ieXj1Yw5iJKXofAb_-" TargetMode="External"/><Relationship Id="rId39" Type="http://schemas.openxmlformats.org/officeDocument/2006/relationships/hyperlink" Target="https://drive.google.com/open?id=1PNU5A-0qAHonIszvNFXADK692wlhKOkH" TargetMode="External"/><Relationship Id="rId38" Type="http://schemas.openxmlformats.org/officeDocument/2006/relationships/hyperlink" Target="https://drive.google.com/open?id=1dNbx1aeoMp1ZXsSz8QghQUrmZj2Meur8" TargetMode="External"/><Relationship Id="rId62" Type="http://schemas.openxmlformats.org/officeDocument/2006/relationships/hyperlink" Target="https://drive.google.com/open?id=1ki7v4nFCI88KEppqhRE-QyFNxWm_YwEM" TargetMode="External"/><Relationship Id="rId61" Type="http://schemas.openxmlformats.org/officeDocument/2006/relationships/hyperlink" Target="https://drive.google.com/open?id=1dsW-H0n7DZvHBvsi6AOY_4LsJpGdsyRj" TargetMode="External"/><Relationship Id="rId20" Type="http://schemas.openxmlformats.org/officeDocument/2006/relationships/hyperlink" Target="https://drive.google.com/open?id=1A97dmPWHNR31nQhwDIxersrMv-w3rTrW" TargetMode="External"/><Relationship Id="rId64" Type="http://schemas.openxmlformats.org/officeDocument/2006/relationships/hyperlink" Target="https://drive.google.com/open?id=11PKC4BzJgcJ6OxM43nSFywrXKQV-qj4Z" TargetMode="External"/><Relationship Id="rId63" Type="http://schemas.openxmlformats.org/officeDocument/2006/relationships/hyperlink" Target="https://drive.google.com/open?id=1nR7RLvHjbAS8MFvnLgpx2j1aRMe4P812" TargetMode="External"/><Relationship Id="rId22" Type="http://schemas.openxmlformats.org/officeDocument/2006/relationships/hyperlink" Target="https://drive.google.com/open?id=1C2O9zg0kXZ8vKHEdR54vLTMAKOfPGGcS" TargetMode="External"/><Relationship Id="rId66" Type="http://schemas.openxmlformats.org/officeDocument/2006/relationships/hyperlink" Target="https://drive.google.com/open?id=1to3zKfiqP5pSmoXTjMb11puq3qxbQUhk" TargetMode="External"/><Relationship Id="rId21" Type="http://schemas.openxmlformats.org/officeDocument/2006/relationships/hyperlink" Target="https://drive.google.com/open?id=1-7XqwdVL-j4aeqhs3MK4XY0jOus6LqOs" TargetMode="External"/><Relationship Id="rId65" Type="http://schemas.openxmlformats.org/officeDocument/2006/relationships/hyperlink" Target="https://drive.google.com/open?id=1ryDai6C-m7tpWQipCHZinxgjT5EwpJ3w" TargetMode="External"/><Relationship Id="rId24" Type="http://schemas.openxmlformats.org/officeDocument/2006/relationships/hyperlink" Target="https://drive.google.com/open?id=1TUZqpxJrsyJtnjf-jPi1ro9-BRdytLcd" TargetMode="External"/><Relationship Id="rId68" Type="http://schemas.openxmlformats.org/officeDocument/2006/relationships/hyperlink" Target="https://drive.google.com/open?id=18aDWjAopFZClybVzoy9VYApFcTkAnhEr" TargetMode="External"/><Relationship Id="rId23" Type="http://schemas.openxmlformats.org/officeDocument/2006/relationships/hyperlink" Target="https://drive.google.com/open?id=1Djirgeu3f7r4fq4Xcew83PfEAO4Qsy5s" TargetMode="External"/><Relationship Id="rId67" Type="http://schemas.openxmlformats.org/officeDocument/2006/relationships/hyperlink" Target="https://drive.google.com/open?id=1RWYNAcqHGg2S5swtIQFLLkbkRavyk9i_" TargetMode="External"/><Relationship Id="rId60" Type="http://schemas.openxmlformats.org/officeDocument/2006/relationships/hyperlink" Target="https://drive.google.com/open?id=1G2Hax0RSCyVwEUURElK7o2C9EIR9KdDk" TargetMode="External"/><Relationship Id="rId26" Type="http://schemas.openxmlformats.org/officeDocument/2006/relationships/hyperlink" Target="https://drive.google.com/open?id=1zYjmdJ0ZSWGRYxppxo0OuO_TA1SGLH5j" TargetMode="External"/><Relationship Id="rId25" Type="http://schemas.openxmlformats.org/officeDocument/2006/relationships/hyperlink" Target="https://drive.google.com/open?id=1rGDOeXchU_75BhP1HMOPWZ1q2L3BoXaP" TargetMode="External"/><Relationship Id="rId69" Type="http://schemas.openxmlformats.org/officeDocument/2006/relationships/hyperlink" Target="https://drive.google.com/open?id=1aLQZOt63rSPcMQdCmvzQe66XrebwpcgM" TargetMode="External"/><Relationship Id="rId28" Type="http://schemas.openxmlformats.org/officeDocument/2006/relationships/hyperlink" Target="https://drive.google.com/open?id=1o7d5biGDr7eD_qug17NvNQh1fYBUj_5q" TargetMode="External"/><Relationship Id="rId27" Type="http://schemas.openxmlformats.org/officeDocument/2006/relationships/hyperlink" Target="https://drive.google.com/open?id=1D3qL8TNVc7-zvT5jNVjWzs4qgRazBxpV" TargetMode="External"/><Relationship Id="rId29" Type="http://schemas.openxmlformats.org/officeDocument/2006/relationships/hyperlink" Target="https://drive.google.com/open?id=1yaJWGvoit8IELsPGJon8Uot_H55H-3Xt" TargetMode="External"/><Relationship Id="rId51" Type="http://schemas.openxmlformats.org/officeDocument/2006/relationships/hyperlink" Target="https://drive.google.com/open?id=1VXHv8A1J6d84DRsp3ztoxUEPNsEWvIUt" TargetMode="External"/><Relationship Id="rId50" Type="http://schemas.openxmlformats.org/officeDocument/2006/relationships/hyperlink" Target="https://drive.google.com/open?id=1Eur9CX_es2zhaRGL9CkYPvSJQryCmXBO" TargetMode="External"/><Relationship Id="rId94" Type="http://schemas.openxmlformats.org/officeDocument/2006/relationships/drawing" Target="../drawings/drawing1.xml"/><Relationship Id="rId53" Type="http://schemas.openxmlformats.org/officeDocument/2006/relationships/hyperlink" Target="https://drive.google.com/open?id=1-5zH3kfAOTfFAemrPT6JUNMwQC2geGTL" TargetMode="External"/><Relationship Id="rId52" Type="http://schemas.openxmlformats.org/officeDocument/2006/relationships/hyperlink" Target="https://drive.google.com/open?id=1ymY04ayEDichfhr93CXiBWvmyY-9MAy8" TargetMode="External"/><Relationship Id="rId96" Type="http://schemas.openxmlformats.org/officeDocument/2006/relationships/table" Target="../tables/table1.xml"/><Relationship Id="rId11" Type="http://schemas.openxmlformats.org/officeDocument/2006/relationships/hyperlink" Target="https://drive.google.com/open?id=16l_X5ZpmGtHh75Hv4Up14_pg8mO5oAUz" TargetMode="External"/><Relationship Id="rId55" Type="http://schemas.openxmlformats.org/officeDocument/2006/relationships/hyperlink" Target="https://drive.google.com/open?id=1pMGblt_xj3L9UkKzdDwZa2Jzxiq5mozv" TargetMode="External"/><Relationship Id="rId10" Type="http://schemas.openxmlformats.org/officeDocument/2006/relationships/hyperlink" Target="https://drive.google.com/open?id=13kUfFEkdHXepwkLwBTjrBuajGaT-xZnY" TargetMode="External"/><Relationship Id="rId54" Type="http://schemas.openxmlformats.org/officeDocument/2006/relationships/hyperlink" Target="https://drive.google.com/open?id=1piiK5nWmTlQO2SDuG9uLGfZcZ3IfgQIm" TargetMode="External"/><Relationship Id="rId13" Type="http://schemas.openxmlformats.org/officeDocument/2006/relationships/hyperlink" Target="https://drive.google.com/open?id=1de8HXNiKxiP1EIAvmTIH2ArUK5_RiVSZ" TargetMode="External"/><Relationship Id="rId57" Type="http://schemas.openxmlformats.org/officeDocument/2006/relationships/hyperlink" Target="https://drive.google.com/open?id=1bdY0aZ9opcN6t_Jj0-7h8h1MDLdVi_ZL" TargetMode="External"/><Relationship Id="rId12" Type="http://schemas.openxmlformats.org/officeDocument/2006/relationships/hyperlink" Target="https://drive.google.com/open?id=1dvJfl4IevUW-CeIfsjhePDQVPw3-OvXw" TargetMode="External"/><Relationship Id="rId56" Type="http://schemas.openxmlformats.org/officeDocument/2006/relationships/hyperlink" Target="https://drive.google.com/open?id=197mQTgsCe_4Lqls0jAUk_rnT5RKpErG2" TargetMode="External"/><Relationship Id="rId91" Type="http://schemas.openxmlformats.org/officeDocument/2006/relationships/hyperlink" Target="https://drive.google.com/open?id=1V46lOtsseIaa18hiAJv2Gwd6QUfhCORO" TargetMode="External"/><Relationship Id="rId90" Type="http://schemas.openxmlformats.org/officeDocument/2006/relationships/hyperlink" Target="https://drive.google.com/open?id=1XxOXx7Qf7b79VD6vZSTZ2gb40NxCj9Tm" TargetMode="External"/><Relationship Id="rId93" Type="http://schemas.openxmlformats.org/officeDocument/2006/relationships/hyperlink" Target="https://drive.google.com/open?id=1iclud4YzEUbdxx49NUqUydpRCkILVc-1" TargetMode="External"/><Relationship Id="rId92" Type="http://schemas.openxmlformats.org/officeDocument/2006/relationships/hyperlink" Target="https://drive.google.com/open?id=1-s9gPEfmxMBi3y0VKnIKd3DW327yANhJ" TargetMode="External"/><Relationship Id="rId15" Type="http://schemas.openxmlformats.org/officeDocument/2006/relationships/hyperlink" Target="https://drive.google.com/open?id=1vneF2OPeq9ClRfKJh2-2CwxVGO2jfGyO" TargetMode="External"/><Relationship Id="rId59" Type="http://schemas.openxmlformats.org/officeDocument/2006/relationships/hyperlink" Target="https://drive.google.com/open?id=12B-9rB2hdSCYwngV6_Ps2_-tBwbC_xsY" TargetMode="External"/><Relationship Id="rId14" Type="http://schemas.openxmlformats.org/officeDocument/2006/relationships/hyperlink" Target="https://drive.google.com/open?id=1EigQr0yz4Nf_iDZNasaNwNT5iYrfuBjB" TargetMode="External"/><Relationship Id="rId58" Type="http://schemas.openxmlformats.org/officeDocument/2006/relationships/hyperlink" Target="https://drive.google.com/open?id=1iOJWkEejMvijXob_rhDXUeHslAd4laYN" TargetMode="External"/><Relationship Id="rId17" Type="http://schemas.openxmlformats.org/officeDocument/2006/relationships/hyperlink" Target="https://drive.google.com/open?id=1k8S-vzReA0gG3pY4Fibg1-_oiV_7KZVJ" TargetMode="External"/><Relationship Id="rId16" Type="http://schemas.openxmlformats.org/officeDocument/2006/relationships/hyperlink" Target="https://drive.google.com/open?id=1ZjqE0xFBW0lrlbBGK6ncoZ3rXCgOPV5C" TargetMode="External"/><Relationship Id="rId19" Type="http://schemas.openxmlformats.org/officeDocument/2006/relationships/hyperlink" Target="https://drive.google.com/open?id=1rD264d84PD7vjcoJN8BPcJsPtTNfB0WK" TargetMode="External"/><Relationship Id="rId18" Type="http://schemas.openxmlformats.org/officeDocument/2006/relationships/hyperlink" Target="https://drive.google.com/open?id=18iOgpD_uJExXfOEng28xarrcXyN9R2xz"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hVGW4RTVkb3mmeajBbDi1odjULLxiaWG" TargetMode="External"/><Relationship Id="rId42" Type="http://schemas.openxmlformats.org/officeDocument/2006/relationships/hyperlink" Target="https://drive.google.com/open?id=1_yoF506zHTqqo13tLAx5ooGjWFPE47GN" TargetMode="External"/><Relationship Id="rId41" Type="http://schemas.openxmlformats.org/officeDocument/2006/relationships/hyperlink" Target="https://drive.google.com/open?id=1WLHH2FiMXsCTwKRs9YALBLYZMLSsa0lb" TargetMode="External"/><Relationship Id="rId44" Type="http://schemas.openxmlformats.org/officeDocument/2006/relationships/hyperlink" Target="https://drive.google.com/open?id=1YMj0cKxb0eeWJV8k0_J-Y1PAr12tE_By" TargetMode="External"/><Relationship Id="rId43" Type="http://schemas.openxmlformats.org/officeDocument/2006/relationships/hyperlink" Target="https://drive.google.com/open?id=1NsfcWujvs3TTNRhilGEHClXymOREAUxF" TargetMode="External"/><Relationship Id="rId46" Type="http://schemas.openxmlformats.org/officeDocument/2006/relationships/hyperlink" Target="https://drive.google.com/open?id=19DGewlgof6dncC8xL3R1sAWQLxyKGssZ" TargetMode="External"/><Relationship Id="rId45" Type="http://schemas.openxmlformats.org/officeDocument/2006/relationships/hyperlink" Target="https://drive.google.com/open?id=1YCHh_AFaNIsLQ9vebjX5Ikf4TZYaXtg5" TargetMode="External"/><Relationship Id="rId1" Type="http://schemas.openxmlformats.org/officeDocument/2006/relationships/hyperlink" Target="https://drive.google.com/open?id=1D3qL8TNVc7-zvT5jNVjWzs4qgRazBxpV" TargetMode="External"/><Relationship Id="rId2" Type="http://schemas.openxmlformats.org/officeDocument/2006/relationships/hyperlink" Target="https://drive.google.com/open?id=16-2ZzgFD8n9wZYaniPOz0w6NisXEwoO_" TargetMode="External"/><Relationship Id="rId3" Type="http://schemas.openxmlformats.org/officeDocument/2006/relationships/hyperlink" Target="https://drive.google.com/open?id=18GFZyZDJ1WJcR3ieXj1Yw5iJKXofAb_-" TargetMode="External"/><Relationship Id="rId4" Type="http://schemas.openxmlformats.org/officeDocument/2006/relationships/hyperlink" Target="https://drive.google.com/open?id=1mQ8i67BWT-5bGibx-MAF1fsWzVJgi1QP" TargetMode="External"/><Relationship Id="rId9" Type="http://schemas.openxmlformats.org/officeDocument/2006/relationships/hyperlink" Target="https://drive.google.com/open?id=1GeBWk2YHdB5lxc4Ks54YSWOsGuOgR29n" TargetMode="External"/><Relationship Id="rId48" Type="http://schemas.openxmlformats.org/officeDocument/2006/relationships/drawing" Target="../drawings/drawing2.xml"/><Relationship Id="rId47" Type="http://schemas.openxmlformats.org/officeDocument/2006/relationships/hyperlink" Target="https://drive.google.com/open?id=1IJtwfoPELePLNDC96MM-gKSGtG8qLH7Z" TargetMode="External"/><Relationship Id="rId5" Type="http://schemas.openxmlformats.org/officeDocument/2006/relationships/hyperlink" Target="https://drive.google.com/open?id=123AIpsKqNibRFF3EB1mKLcqO3XH4F6Ds" TargetMode="External"/><Relationship Id="rId6" Type="http://schemas.openxmlformats.org/officeDocument/2006/relationships/hyperlink" Target="https://drive.google.com/open?id=1H96S9ivvB4e3WGdp0t18sEs4wTBBL_di" TargetMode="External"/><Relationship Id="rId7" Type="http://schemas.openxmlformats.org/officeDocument/2006/relationships/hyperlink" Target="https://drive.google.com/open?id=1VXHv8A1J6d84DRsp3ztoxUEPNsEWvIUt" TargetMode="External"/><Relationship Id="rId8" Type="http://schemas.openxmlformats.org/officeDocument/2006/relationships/hyperlink" Target="https://drive.google.com/open?id=1ymY04ayEDichfhr93CXiBWvmyY-9MAy8" TargetMode="External"/><Relationship Id="rId31" Type="http://schemas.openxmlformats.org/officeDocument/2006/relationships/hyperlink" Target="https://drive.google.com/open?id=1dsW-H0n7DZvHBvsi6AOY_4LsJpGdsyRj" TargetMode="External"/><Relationship Id="rId30" Type="http://schemas.openxmlformats.org/officeDocument/2006/relationships/hyperlink" Target="https://drive.google.com/open?id=1G2Hax0RSCyVwEUURElK7o2C9EIR9KdDk" TargetMode="External"/><Relationship Id="rId33" Type="http://schemas.openxmlformats.org/officeDocument/2006/relationships/hyperlink" Target="https://drive.google.com/open?id=1dAHvHu_sGzkcmCqsU--UuFco0dnsz7DR" TargetMode="External"/><Relationship Id="rId32" Type="http://schemas.openxmlformats.org/officeDocument/2006/relationships/hyperlink" Target="https://drive.google.com/open?id=1v_wL6ihOmYNmNpa0LP4SyI2JM7SoGNYP" TargetMode="External"/><Relationship Id="rId35" Type="http://schemas.openxmlformats.org/officeDocument/2006/relationships/hyperlink" Target="https://drive.google.com/open?id=1gsRIqZ-1kiVnHYbPxfT1nURl-tigpH5i" TargetMode="External"/><Relationship Id="rId34" Type="http://schemas.openxmlformats.org/officeDocument/2006/relationships/hyperlink" Target="https://drive.google.com/open?id=1ocbQXMShsQdXb2SaCoh1_dJXSU7IB2xF" TargetMode="External"/><Relationship Id="rId37" Type="http://schemas.openxmlformats.org/officeDocument/2006/relationships/hyperlink" Target="https://drive.google.com/open?id=1dUWD9AZ0oqOosQ33CrcMrOpY2daYJEtc" TargetMode="External"/><Relationship Id="rId36" Type="http://schemas.openxmlformats.org/officeDocument/2006/relationships/hyperlink" Target="https://drive.google.com/open?id=1F82Tvx4SilRigp6eDacyCLzAEgyw-uFI" TargetMode="External"/><Relationship Id="rId39" Type="http://schemas.openxmlformats.org/officeDocument/2006/relationships/hyperlink" Target="https://drive.google.com/open?id=1-ot_JLU13fRyngylhsY-gTNB_9h16agp" TargetMode="External"/><Relationship Id="rId38" Type="http://schemas.openxmlformats.org/officeDocument/2006/relationships/hyperlink" Target="https://drive.google.com/open?id=1XvsdCPXTvfjb9a21J4vl1XQqIMTGTpCI" TargetMode="External"/><Relationship Id="rId20" Type="http://schemas.openxmlformats.org/officeDocument/2006/relationships/hyperlink" Target="https://drive.google.com/open?id=1pMGblt_xj3L9UkKzdDwZa2Jzxiq5mozv" TargetMode="External"/><Relationship Id="rId22" Type="http://schemas.openxmlformats.org/officeDocument/2006/relationships/hyperlink" Target="https://drive.google.com/open?id=1ki7v4nFCI88KEppqhRE-QyFNxWm_YwEM" TargetMode="External"/><Relationship Id="rId21" Type="http://schemas.openxmlformats.org/officeDocument/2006/relationships/hyperlink" Target="https://drive.google.com/open?id=12B-9rB2hdSCYwngV6_Ps2_-tBwbC_xsY" TargetMode="External"/><Relationship Id="rId24" Type="http://schemas.openxmlformats.org/officeDocument/2006/relationships/hyperlink" Target="https://drive.google.com/open?id=11PKC4BzJgcJ6OxM43nSFywrXKQV-qj4Z" TargetMode="External"/><Relationship Id="rId23" Type="http://schemas.openxmlformats.org/officeDocument/2006/relationships/hyperlink" Target="https://drive.google.com/open?id=1nR7RLvHjbAS8MFvnLgpx2j1aRMe4P812" TargetMode="External"/><Relationship Id="rId26" Type="http://schemas.openxmlformats.org/officeDocument/2006/relationships/hyperlink" Target="https://drive.google.com/open?id=1to3zKfiqP5pSmoXTjMb11puq3qxbQUhk" TargetMode="External"/><Relationship Id="rId25" Type="http://schemas.openxmlformats.org/officeDocument/2006/relationships/hyperlink" Target="https://drive.google.com/open?id=1ryDai6C-m7tpWQipCHZinxgjT5EwpJ3w" TargetMode="External"/><Relationship Id="rId28" Type="http://schemas.openxmlformats.org/officeDocument/2006/relationships/hyperlink" Target="https://drive.google.com/open?id=18aDWjAopFZClybVzoy9VYApFcTkAnhEr" TargetMode="External"/><Relationship Id="rId27" Type="http://schemas.openxmlformats.org/officeDocument/2006/relationships/hyperlink" Target="https://drive.google.com/open?id=1RWYNAcqHGg2S5swtIQFLLkbkRavyk9i_" TargetMode="External"/><Relationship Id="rId29" Type="http://schemas.openxmlformats.org/officeDocument/2006/relationships/hyperlink" Target="https://drive.google.com/open?id=1aLQZOt63rSPcMQdCmvzQe66XrebwpcgM" TargetMode="External"/><Relationship Id="rId50" Type="http://schemas.openxmlformats.org/officeDocument/2006/relationships/table" Target="../tables/table2.xml"/><Relationship Id="rId11" Type="http://schemas.openxmlformats.org/officeDocument/2006/relationships/hyperlink" Target="https://drive.google.com/open?id=1gwY0e1fP97A6wn3fchNxHbcOBaLPp_qo" TargetMode="External"/><Relationship Id="rId10" Type="http://schemas.openxmlformats.org/officeDocument/2006/relationships/hyperlink" Target="https://drive.google.com/open?id=1-5zH3kfAOTfFAemrPT6JUNMwQC2geGTL" TargetMode="External"/><Relationship Id="rId13" Type="http://schemas.openxmlformats.org/officeDocument/2006/relationships/hyperlink" Target="https://drive.google.com/open?id=1n9E8iMrdcuLE-S7YWD0QFdQPTbw_ASXM" TargetMode="External"/><Relationship Id="rId12" Type="http://schemas.openxmlformats.org/officeDocument/2006/relationships/hyperlink" Target="https://drive.google.com/open?id=1FYy9H_zLArSs6XnS0tonCP7EtnjkWSjm" TargetMode="External"/><Relationship Id="rId15" Type="http://schemas.openxmlformats.org/officeDocument/2006/relationships/hyperlink" Target="https://drive.google.com/open?id=1iOJWkEejMvijXob_rhDXUeHslAd4laYN" TargetMode="External"/><Relationship Id="rId14" Type="http://schemas.openxmlformats.org/officeDocument/2006/relationships/hyperlink" Target="https://drive.google.com/open?id=1IiOsx9cC44RRxC1rZpDA9S1cAXw0-1dV" TargetMode="External"/><Relationship Id="rId17" Type="http://schemas.openxmlformats.org/officeDocument/2006/relationships/hyperlink" Target="https://drive.google.com/open?id=1dZBknIO9wAfF2yogyx4h_it3hjqU7Hb6" TargetMode="External"/><Relationship Id="rId16" Type="http://schemas.openxmlformats.org/officeDocument/2006/relationships/hyperlink" Target="https://drive.google.com/open?id=1Sxgx7LoZNK5bS7JrQSzKlFpmebduI5MZ" TargetMode="External"/><Relationship Id="rId19" Type="http://schemas.openxmlformats.org/officeDocument/2006/relationships/hyperlink" Target="https://drive.google.com/open?id=1piiK5nWmTlQO2SDuG9uLGfZcZ3IfgQIm" TargetMode="External"/><Relationship Id="rId18" Type="http://schemas.openxmlformats.org/officeDocument/2006/relationships/hyperlink" Target="https://drive.google.com/open?id=1Eur9CX_es2zhaRGL9CkYPvSJQryCmXB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0"/>
    <col customWidth="1" hidden="1" min="2" max="2" width="17.5"/>
    <col customWidth="1" min="3" max="3" width="7.5"/>
    <col customWidth="1" min="4" max="4" width="17.88"/>
    <col customWidth="1" min="5" max="5" width="51.25"/>
    <col customWidth="1" min="6" max="6" width="14.25"/>
    <col customWidth="1" min="7" max="7" width="21.75"/>
    <col customWidth="1" min="8" max="8" width="52.38"/>
    <col customWidth="1" min="9" max="9" width="15.5"/>
    <col customWidth="1" min="10" max="10" width="12.0"/>
    <col customWidth="1" min="11" max="11" width="11.13"/>
    <col customWidth="1" min="12" max="16" width="18.88"/>
  </cols>
  <sheetData>
    <row r="1" ht="22.5" customHeight="1">
      <c r="A1" s="1" t="s">
        <v>0</v>
      </c>
      <c r="B1" s="1" t="s">
        <v>1</v>
      </c>
      <c r="C1" s="2" t="s">
        <v>2</v>
      </c>
      <c r="D1" s="3" t="s">
        <v>3</v>
      </c>
      <c r="E1" s="1" t="s">
        <v>4</v>
      </c>
      <c r="F1" s="1" t="s">
        <v>5</v>
      </c>
      <c r="G1" s="3" t="s">
        <v>6</v>
      </c>
      <c r="H1" s="3" t="s">
        <v>7</v>
      </c>
      <c r="I1" s="3" t="s">
        <v>8</v>
      </c>
      <c r="J1" s="4" t="s">
        <v>9</v>
      </c>
      <c r="K1" s="5" t="s">
        <v>10</v>
      </c>
      <c r="L1" s="6"/>
      <c r="M1" s="6"/>
      <c r="N1" s="6"/>
      <c r="O1" s="6"/>
      <c r="P1" s="6"/>
    </row>
    <row r="2" ht="22.5" customHeight="1">
      <c r="A2" s="7">
        <v>45918.38860815972</v>
      </c>
      <c r="B2" s="8" t="str">
        <f t="shared" ref="B2:B34" si="1">CONCATENATE(C2,"@cornell.edu")</f>
        <v>Nhh5@cornell.edu</v>
      </c>
      <c r="C2" s="8" t="s">
        <v>11</v>
      </c>
      <c r="D2" s="8" t="s">
        <v>12</v>
      </c>
      <c r="E2" s="8" t="s">
        <v>13</v>
      </c>
      <c r="F2" s="9" t="s">
        <v>14</v>
      </c>
      <c r="G2" s="8" t="s">
        <v>15</v>
      </c>
      <c r="H2" s="8" t="s">
        <v>16</v>
      </c>
      <c r="I2" s="8" t="s">
        <v>17</v>
      </c>
      <c r="J2" s="10">
        <f>IFERROR(__xludf.DUMMYFUNCTION("IF(ISDATE(A2), DATE(YEAR(A2), MONTH(A2), DAY(A2)+ IFS(ISNUMBER(SEARCH(""Red"", E2)), 1, ISNUMBER(SEARCH(""Orange"", E2)), 3, ISNUMBER(SEARCH(""Yellow"", E2)), 10, ISNUMBER(SEARCH(""Ivory"", E2)), 21,TRUE, ""60"")), """")"),45928.0)</f>
        <v>45928</v>
      </c>
      <c r="K2" s="11">
        <v>45931.0</v>
      </c>
      <c r="L2" s="6"/>
      <c r="M2" s="6"/>
      <c r="N2" s="6"/>
      <c r="O2" s="6"/>
      <c r="P2" s="6"/>
    </row>
    <row r="3" ht="22.5" customHeight="1">
      <c r="A3" s="7">
        <v>45918.391582303244</v>
      </c>
      <c r="B3" s="8" t="str">
        <f t="shared" si="1"/>
        <v>Nhh5@cornell.edu</v>
      </c>
      <c r="C3" s="8" t="s">
        <v>11</v>
      </c>
      <c r="D3" s="8" t="s">
        <v>18</v>
      </c>
      <c r="E3" s="8" t="s">
        <v>13</v>
      </c>
      <c r="F3" s="9" t="s">
        <v>19</v>
      </c>
      <c r="G3" s="8" t="s">
        <v>20</v>
      </c>
      <c r="H3" s="8" t="s">
        <v>21</v>
      </c>
      <c r="I3" s="8" t="s">
        <v>17</v>
      </c>
      <c r="J3" s="10">
        <f>IFERROR(__xludf.DUMMYFUNCTION("IF(ISDATE(A3), DATE(YEAR(A3), MONTH(A3), DAY(A3)+ IFS(ISNUMBER(SEARCH(""Red"", E3)), 1, ISNUMBER(SEARCH(""Orange"", E3)), 3, ISNUMBER(SEARCH(""Yellow"", E3)), 10, ISNUMBER(SEARCH(""Ivory"", E3)), 21,TRUE, ""60"")), """")"),45928.0)</f>
        <v>45928</v>
      </c>
      <c r="K3" s="11">
        <v>45931.0</v>
      </c>
      <c r="L3" s="6"/>
      <c r="M3" s="6"/>
      <c r="N3" s="6"/>
      <c r="O3" s="6"/>
      <c r="P3" s="6"/>
    </row>
    <row r="4" ht="22.5" customHeight="1">
      <c r="A4" s="7">
        <v>45918.39508353009</v>
      </c>
      <c r="B4" s="8" t="str">
        <f t="shared" si="1"/>
        <v>Nhh5@cornell.edu</v>
      </c>
      <c r="C4" s="8" t="s">
        <v>11</v>
      </c>
      <c r="D4" s="8" t="s">
        <v>22</v>
      </c>
      <c r="E4" s="8" t="s">
        <v>13</v>
      </c>
      <c r="F4" s="9" t="s">
        <v>23</v>
      </c>
      <c r="G4" s="8" t="s">
        <v>20</v>
      </c>
      <c r="H4" s="8" t="s">
        <v>21</v>
      </c>
      <c r="I4" s="8" t="s">
        <v>17</v>
      </c>
      <c r="J4" s="10">
        <f>IFERROR(__xludf.DUMMYFUNCTION("IF(ISDATE(A4), DATE(YEAR(A4), MONTH(A4), DAY(A4)+ IFS(ISNUMBER(SEARCH(""Red"", E4)), 1, ISNUMBER(SEARCH(""Orange"", E4)), 3, ISNUMBER(SEARCH(""Yellow"", E4)), 10, ISNUMBER(SEARCH(""Ivory"", E4)), 21,TRUE, ""60"")), """")"),45928.0)</f>
        <v>45928</v>
      </c>
      <c r="K4" s="11">
        <v>45931.0</v>
      </c>
      <c r="L4" s="6"/>
      <c r="M4" s="6"/>
      <c r="N4" s="6"/>
      <c r="O4" s="6"/>
      <c r="P4" s="6"/>
    </row>
    <row r="5" ht="22.5" customHeight="1">
      <c r="A5" s="7">
        <v>45918.39807795139</v>
      </c>
      <c r="B5" s="8" t="str">
        <f t="shared" si="1"/>
        <v>Nhh5@cornell.edu</v>
      </c>
      <c r="C5" s="8" t="s">
        <v>11</v>
      </c>
      <c r="D5" s="8" t="s">
        <v>18</v>
      </c>
      <c r="E5" s="8" t="s">
        <v>13</v>
      </c>
      <c r="F5" s="9" t="s">
        <v>24</v>
      </c>
      <c r="G5" s="8" t="s">
        <v>15</v>
      </c>
      <c r="H5" s="8" t="s">
        <v>25</v>
      </c>
      <c r="I5" s="8" t="s">
        <v>26</v>
      </c>
      <c r="J5" s="10">
        <f>IFERROR(__xludf.DUMMYFUNCTION("IF(ISDATE(A5), DATE(YEAR(A5), MONTH(A5), DAY(A5)+ IFS(ISNUMBER(SEARCH(""Red"", E5)), 1, ISNUMBER(SEARCH(""Orange"", E5)), 3, ISNUMBER(SEARCH(""Yellow"", E5)), 10, ISNUMBER(SEARCH(""Ivory"", E5)), 21,TRUE, ""60"")), """")"),45928.0)</f>
        <v>45928</v>
      </c>
      <c r="K5" s="11">
        <v>45931.0</v>
      </c>
      <c r="L5" s="6"/>
      <c r="M5" s="6"/>
      <c r="N5" s="6"/>
      <c r="O5" s="6"/>
      <c r="P5" s="6"/>
    </row>
    <row r="6" ht="22.5" customHeight="1">
      <c r="A6" s="7">
        <v>45918.62064902778</v>
      </c>
      <c r="B6" s="8" t="str">
        <f t="shared" si="1"/>
        <v>Nhh5@cornell.edu</v>
      </c>
      <c r="C6" s="8" t="s">
        <v>11</v>
      </c>
      <c r="D6" s="8" t="s">
        <v>22</v>
      </c>
      <c r="E6" s="8" t="s">
        <v>27</v>
      </c>
      <c r="F6" s="9" t="s">
        <v>28</v>
      </c>
      <c r="G6" s="8" t="s">
        <v>20</v>
      </c>
      <c r="H6" s="8" t="s">
        <v>29</v>
      </c>
      <c r="I6" s="8" t="s">
        <v>26</v>
      </c>
      <c r="J6" s="10">
        <f>IFERROR(__xludf.DUMMYFUNCTION("IF(ISDATE(A6), DATE(YEAR(A6), MONTH(A6), DAY(A6)+ IFS(ISNUMBER(SEARCH(""Red"", E6)), 1, ISNUMBER(SEARCH(""Orange"", E6)), 3, ISNUMBER(SEARCH(""Yellow"", E6)), 10, ISNUMBER(SEARCH(""Ivory"", E6)), 21,TRUE, ""60"")), """")"),45921.0)</f>
        <v>45921</v>
      </c>
      <c r="K6" s="11">
        <v>45931.0</v>
      </c>
      <c r="L6" s="6"/>
      <c r="M6" s="6"/>
      <c r="N6" s="6"/>
      <c r="O6" s="6"/>
      <c r="P6" s="6"/>
    </row>
    <row r="7" ht="22.5" customHeight="1">
      <c r="A7" s="7">
        <v>45919.71840357639</v>
      </c>
      <c r="B7" s="8" t="str">
        <f t="shared" si="1"/>
        <v>Nhh@cornell.edu</v>
      </c>
      <c r="C7" s="8" t="s">
        <v>30</v>
      </c>
      <c r="D7" s="8" t="s">
        <v>18</v>
      </c>
      <c r="E7" s="8" t="s">
        <v>31</v>
      </c>
      <c r="F7" s="9" t="s">
        <v>32</v>
      </c>
      <c r="G7" s="8" t="s">
        <v>33</v>
      </c>
      <c r="H7" s="8" t="s">
        <v>34</v>
      </c>
      <c r="I7" s="8" t="s">
        <v>26</v>
      </c>
      <c r="J7" s="10">
        <f>IFERROR(__xludf.DUMMYFUNCTION("IF(ISDATE(A7), DATE(YEAR(A7), MONTH(A7), DAY(A7)+ IFS(ISNUMBER(SEARCH(""Red"", E7)), 1, ISNUMBER(SEARCH(""Orange"", E7)), 3, ISNUMBER(SEARCH(""Yellow"", E7)), 10, ISNUMBER(SEARCH(""Ivory"", E7)), 21,TRUE, ""60"")), """")"),45920.0)</f>
        <v>45920</v>
      </c>
      <c r="K7" s="11">
        <v>45931.0</v>
      </c>
      <c r="L7" s="6"/>
      <c r="M7" s="6"/>
      <c r="N7" s="6"/>
      <c r="O7" s="6"/>
      <c r="P7" s="6"/>
    </row>
    <row r="8" ht="22.5" customHeight="1">
      <c r="A8" s="7">
        <v>45932.63765769676</v>
      </c>
      <c r="B8" s="8" t="str">
        <f t="shared" si="1"/>
        <v>Nhh5@cornell.edu</v>
      </c>
      <c r="C8" s="8" t="s">
        <v>11</v>
      </c>
      <c r="D8" s="8" t="s">
        <v>35</v>
      </c>
      <c r="E8" s="8" t="s">
        <v>13</v>
      </c>
      <c r="F8" s="9" t="s">
        <v>36</v>
      </c>
      <c r="G8" s="8" t="s">
        <v>37</v>
      </c>
      <c r="H8" s="8" t="s">
        <v>38</v>
      </c>
      <c r="I8" s="8" t="s">
        <v>26</v>
      </c>
      <c r="J8" s="10">
        <f>IFERROR(__xludf.DUMMYFUNCTION("IF(ISDATE(A8), DATE(YEAR(A8), MONTH(A8), DAY(A8)+ IFS(ISNUMBER(SEARCH(""Red"", E8)), 1, ISNUMBER(SEARCH(""Orange"", E8)), 3, ISNUMBER(SEARCH(""Yellow"", E8)), 10, ISNUMBER(SEARCH(""Ivory"", E8)), 21,TRUE, ""60"")), """")"),45942.0)</f>
        <v>45942</v>
      </c>
      <c r="K8" s="11">
        <v>45938.0</v>
      </c>
      <c r="L8" s="6"/>
      <c r="M8" s="6"/>
      <c r="N8" s="6"/>
      <c r="O8" s="6"/>
      <c r="P8" s="6"/>
    </row>
    <row r="9" ht="22.5" customHeight="1">
      <c r="A9" s="7">
        <v>45932.69484297454</v>
      </c>
      <c r="B9" s="8" t="str">
        <f t="shared" si="1"/>
        <v>jam834@cornell.edu</v>
      </c>
      <c r="C9" s="8" t="s">
        <v>39</v>
      </c>
      <c r="D9" s="8" t="s">
        <v>40</v>
      </c>
      <c r="E9" s="8" t="s">
        <v>31</v>
      </c>
      <c r="F9" s="9" t="s">
        <v>41</v>
      </c>
      <c r="G9" s="8" t="s">
        <v>33</v>
      </c>
      <c r="H9" s="8" t="s">
        <v>42</v>
      </c>
      <c r="I9" s="8" t="s">
        <v>26</v>
      </c>
      <c r="J9" s="10">
        <f>IFERROR(__xludf.DUMMYFUNCTION("IF(ISDATE(A9), DATE(YEAR(A9), MONTH(A9), DAY(A9)+ IFS(ISNUMBER(SEARCH(""Red"", E9)), 1, ISNUMBER(SEARCH(""Orange"", E9)), 3, ISNUMBER(SEARCH(""Yellow"", E9)), 10, ISNUMBER(SEARCH(""Ivory"", E9)), 21,TRUE, ""60"")), """")"),45933.0)</f>
        <v>45933</v>
      </c>
      <c r="K9" s="11">
        <v>45938.0</v>
      </c>
      <c r="L9" s="6"/>
      <c r="M9" s="6"/>
      <c r="N9" s="6"/>
      <c r="O9" s="6"/>
      <c r="P9" s="6"/>
    </row>
    <row r="10" ht="22.5" customHeight="1">
      <c r="A10" s="7">
        <v>45933.38386908565</v>
      </c>
      <c r="B10" s="8" t="str">
        <f t="shared" si="1"/>
        <v>Nhh5@cornell.edu</v>
      </c>
      <c r="C10" s="8" t="s">
        <v>11</v>
      </c>
      <c r="D10" s="8" t="s">
        <v>43</v>
      </c>
      <c r="E10" s="8" t="s">
        <v>13</v>
      </c>
      <c r="F10" s="9" t="s">
        <v>44</v>
      </c>
      <c r="G10" s="8" t="s">
        <v>45</v>
      </c>
      <c r="H10" s="8" t="s">
        <v>46</v>
      </c>
      <c r="I10" s="8" t="s">
        <v>26</v>
      </c>
      <c r="J10" s="10">
        <f>IFERROR(__xludf.DUMMYFUNCTION("IF(ISDATE(A10), DATE(YEAR(A10), MONTH(A10), DAY(A10)+ IFS(ISNUMBER(SEARCH(""Red"", E10)), 1, ISNUMBER(SEARCH(""Orange"", E10)), 3, ISNUMBER(SEARCH(""Yellow"", E10)), 10, ISNUMBER(SEARCH(""Ivory"", E10)), 21,TRUE, ""60"")), """")"),45943.0)</f>
        <v>45943</v>
      </c>
      <c r="K10" s="11">
        <v>45938.0</v>
      </c>
      <c r="L10" s="6"/>
      <c r="M10" s="6"/>
      <c r="N10" s="6"/>
      <c r="O10" s="6"/>
      <c r="P10" s="6"/>
    </row>
    <row r="11" ht="22.5" customHeight="1">
      <c r="A11" s="7">
        <v>45933.395827858796</v>
      </c>
      <c r="B11" s="8" t="str">
        <f t="shared" si="1"/>
        <v>Nhh5 @cornell.edu</v>
      </c>
      <c r="C11" s="8" t="s">
        <v>47</v>
      </c>
      <c r="D11" s="8" t="s">
        <v>43</v>
      </c>
      <c r="E11" s="8" t="s">
        <v>48</v>
      </c>
      <c r="F11" s="9" t="s">
        <v>49</v>
      </c>
      <c r="G11" s="8" t="s">
        <v>50</v>
      </c>
      <c r="H11" s="8" t="s">
        <v>51</v>
      </c>
      <c r="I11" s="8" t="s">
        <v>26</v>
      </c>
      <c r="J11" s="10">
        <f>IFERROR(__xludf.DUMMYFUNCTION("IF(ISDATE(A11), DATE(YEAR(A11), MONTH(A11), DAY(A11)+ IFS(ISNUMBER(SEARCH(""Red"", E11)), 1, ISNUMBER(SEARCH(""Orange"", E11)), 3, ISNUMBER(SEARCH(""Yellow"", E11)), 10, ISNUMBER(SEARCH(""Ivory"", E11)), 21,TRUE, ""60"")), """")"),45954.0)</f>
        <v>45954</v>
      </c>
      <c r="K11" s="11">
        <v>45938.0</v>
      </c>
      <c r="L11" s="6"/>
      <c r="M11" s="6"/>
      <c r="N11" s="6"/>
      <c r="O11" s="6"/>
      <c r="P11" s="6"/>
    </row>
    <row r="12" ht="22.5" customHeight="1">
      <c r="A12" s="7">
        <v>45933.39786732639</v>
      </c>
      <c r="B12" s="8" t="str">
        <f t="shared" si="1"/>
        <v>Nhh5 @cornell.edu</v>
      </c>
      <c r="C12" s="8" t="s">
        <v>47</v>
      </c>
      <c r="D12" s="8" t="s">
        <v>43</v>
      </c>
      <c r="E12" s="8" t="s">
        <v>13</v>
      </c>
      <c r="F12" s="9" t="s">
        <v>52</v>
      </c>
      <c r="G12" s="8" t="s">
        <v>45</v>
      </c>
      <c r="H12" s="8" t="s">
        <v>53</v>
      </c>
      <c r="I12" s="8" t="s">
        <v>26</v>
      </c>
      <c r="J12" s="10">
        <f>IFERROR(__xludf.DUMMYFUNCTION("IF(ISDATE(A12), DATE(YEAR(A12), MONTH(A12), DAY(A12)+ IFS(ISNUMBER(SEARCH(""Red"", E12)), 1, ISNUMBER(SEARCH(""Orange"", E12)), 3, ISNUMBER(SEARCH(""Yellow"", E12)), 10, ISNUMBER(SEARCH(""Ivory"", E12)), 21,TRUE, ""60"")), """")"),45943.0)</f>
        <v>45943</v>
      </c>
      <c r="K12" s="11">
        <v>45938.0</v>
      </c>
      <c r="L12" s="6"/>
      <c r="M12" s="6"/>
      <c r="N12" s="6"/>
      <c r="O12" s="6"/>
      <c r="P12" s="6"/>
    </row>
    <row r="13" ht="22.5" customHeight="1">
      <c r="A13" s="7">
        <v>45933.3994502662</v>
      </c>
      <c r="B13" s="8" t="str">
        <f t="shared" si="1"/>
        <v>Nhh5 @cornell.edu</v>
      </c>
      <c r="C13" s="8" t="s">
        <v>47</v>
      </c>
      <c r="D13" s="8" t="s">
        <v>43</v>
      </c>
      <c r="E13" s="8" t="s">
        <v>13</v>
      </c>
      <c r="F13" s="9" t="s">
        <v>54</v>
      </c>
      <c r="G13" s="8" t="s">
        <v>33</v>
      </c>
      <c r="H13" s="8" t="s">
        <v>55</v>
      </c>
      <c r="I13" s="8" t="s">
        <v>26</v>
      </c>
      <c r="J13" s="10">
        <f>IFERROR(__xludf.DUMMYFUNCTION("IF(ISDATE(A13), DATE(YEAR(A13), MONTH(A13), DAY(A13)+ IFS(ISNUMBER(SEARCH(""Red"", E13)), 1, ISNUMBER(SEARCH(""Orange"", E13)), 3, ISNUMBER(SEARCH(""Yellow"", E13)), 10, ISNUMBER(SEARCH(""Ivory"", E13)), 21,TRUE, ""60"")), """")"),45943.0)</f>
        <v>45943</v>
      </c>
      <c r="K13" s="11">
        <v>45938.0</v>
      </c>
      <c r="L13" s="6"/>
      <c r="M13" s="6"/>
      <c r="N13" s="6"/>
      <c r="O13" s="6"/>
      <c r="P13" s="6"/>
    </row>
    <row r="14" ht="22.5" customHeight="1">
      <c r="A14" s="7">
        <v>45933.40274034722</v>
      </c>
      <c r="B14" s="8" t="str">
        <f t="shared" si="1"/>
        <v>Nhh5 @cornell.edu</v>
      </c>
      <c r="C14" s="8" t="s">
        <v>47</v>
      </c>
      <c r="D14" s="8" t="s">
        <v>43</v>
      </c>
      <c r="E14" s="8" t="s">
        <v>56</v>
      </c>
      <c r="F14" s="9" t="s">
        <v>57</v>
      </c>
      <c r="G14" s="8" t="s">
        <v>50</v>
      </c>
      <c r="H14" s="8" t="s">
        <v>58</v>
      </c>
      <c r="I14" s="8" t="s">
        <v>26</v>
      </c>
      <c r="J14" s="10">
        <f>IFERROR(__xludf.DUMMYFUNCTION("IF(ISDATE(A14), DATE(YEAR(A14), MONTH(A14), DAY(A14)+ IFS(ISNUMBER(SEARCH(""Red"", E14)), 1, ISNUMBER(SEARCH(""Orange"", E14)), 3, ISNUMBER(SEARCH(""Yellow"", E14)), 10, ISNUMBER(SEARCH(""Ivory"", E14)), 21,TRUE, ""60"")), """")"),45993.0)</f>
        <v>45993</v>
      </c>
      <c r="K14" s="11">
        <v>45938.0</v>
      </c>
      <c r="L14" s="6"/>
      <c r="M14" s="6"/>
      <c r="N14" s="6"/>
      <c r="O14" s="6"/>
      <c r="P14" s="6"/>
    </row>
    <row r="15" ht="22.5" customHeight="1">
      <c r="A15" s="7">
        <v>45936.40826145833</v>
      </c>
      <c r="B15" s="8" t="str">
        <f t="shared" si="1"/>
        <v>Nhh5@cornell.edu</v>
      </c>
      <c r="C15" s="8" t="s">
        <v>11</v>
      </c>
      <c r="D15" s="8" t="s">
        <v>35</v>
      </c>
      <c r="E15" s="8" t="s">
        <v>27</v>
      </c>
      <c r="F15" s="9" t="s">
        <v>59</v>
      </c>
      <c r="G15" s="8" t="s">
        <v>37</v>
      </c>
      <c r="H15" s="8" t="s">
        <v>60</v>
      </c>
      <c r="I15" s="8" t="s">
        <v>26</v>
      </c>
      <c r="J15" s="10">
        <f>IFERROR(__xludf.DUMMYFUNCTION("IF(ISDATE(A15), DATE(YEAR(A15), MONTH(A15), DAY(A15)+ IFS(ISNUMBER(SEARCH(""Red"", E15)), 1, ISNUMBER(SEARCH(""Orange"", E15)), 3, ISNUMBER(SEARCH(""Yellow"", E15)), 10, ISNUMBER(SEARCH(""Ivory"", E15)), 21,TRUE, ""60"")), """")"),45939.0)</f>
        <v>45939</v>
      </c>
      <c r="K15" s="11">
        <v>45938.0</v>
      </c>
      <c r="L15" s="6"/>
      <c r="M15" s="6"/>
      <c r="N15" s="6"/>
      <c r="O15" s="6"/>
      <c r="P15" s="6"/>
    </row>
    <row r="16" ht="22.5" customHeight="1">
      <c r="A16" s="7">
        <v>45937.522229780094</v>
      </c>
      <c r="B16" s="8" t="str">
        <f t="shared" si="1"/>
        <v>Nhh5@cornell.edu</v>
      </c>
      <c r="C16" s="8" t="s">
        <v>11</v>
      </c>
      <c r="D16" s="8" t="s">
        <v>43</v>
      </c>
      <c r="E16" s="8" t="s">
        <v>13</v>
      </c>
      <c r="F16" s="9" t="s">
        <v>61</v>
      </c>
      <c r="G16" s="8" t="s">
        <v>15</v>
      </c>
      <c r="H16" s="8" t="s">
        <v>62</v>
      </c>
      <c r="I16" s="8" t="s">
        <v>26</v>
      </c>
      <c r="J16" s="10">
        <f>IFERROR(__xludf.DUMMYFUNCTION("IF(ISDATE(A16), DATE(YEAR(A16), MONTH(A16), DAY(A16)+ IFS(ISNUMBER(SEARCH(""Red"", E16)), 1, ISNUMBER(SEARCH(""Orange"", E16)), 3, ISNUMBER(SEARCH(""Yellow"", E16)), 10, ISNUMBER(SEARCH(""Ivory"", E16)), 21,TRUE, ""60"")), """")"),45947.0)</f>
        <v>45947</v>
      </c>
      <c r="K16" s="11">
        <v>45938.0</v>
      </c>
      <c r="L16" s="6"/>
      <c r="M16" s="6"/>
      <c r="N16" s="6"/>
      <c r="O16" s="6"/>
      <c r="P16" s="6"/>
    </row>
    <row r="17" ht="22.5" customHeight="1">
      <c r="A17" s="7">
        <v>45943.41395166666</v>
      </c>
      <c r="B17" s="8" t="str">
        <f t="shared" si="1"/>
        <v>Nhh5@cornell.edu</v>
      </c>
      <c r="C17" s="8" t="s">
        <v>11</v>
      </c>
      <c r="D17" s="8" t="s">
        <v>22</v>
      </c>
      <c r="E17" s="8" t="s">
        <v>13</v>
      </c>
      <c r="F17" s="9" t="s">
        <v>63</v>
      </c>
      <c r="G17" s="8" t="s">
        <v>20</v>
      </c>
      <c r="H17" s="8" t="s">
        <v>64</v>
      </c>
      <c r="I17" s="8" t="s">
        <v>26</v>
      </c>
      <c r="J17" s="10">
        <f>IFERROR(__xludf.DUMMYFUNCTION("IF(ISDATE(A17), DATE(YEAR(A17), MONTH(A17), DAY(A17)+ IFS(ISNUMBER(SEARCH(""Red"", E17)), 1, ISNUMBER(SEARCH(""Orange"", E17)), 3, ISNUMBER(SEARCH(""Yellow"", E17)), 10, ISNUMBER(SEARCH(""Ivory"", E17)), 21,TRUE, ""60"")), """")"),45953.0)</f>
        <v>45953</v>
      </c>
      <c r="K17" s="11">
        <v>45945.0</v>
      </c>
      <c r="L17" s="6"/>
      <c r="M17" s="6"/>
      <c r="N17" s="6"/>
      <c r="O17" s="6"/>
      <c r="P17" s="6"/>
    </row>
    <row r="18" ht="22.5" customHeight="1">
      <c r="A18" s="7">
        <v>45943.415800532406</v>
      </c>
      <c r="B18" s="8" t="str">
        <f t="shared" si="1"/>
        <v>Nhh5@cornell.edu</v>
      </c>
      <c r="C18" s="8" t="s">
        <v>11</v>
      </c>
      <c r="D18" s="8" t="s">
        <v>65</v>
      </c>
      <c r="E18" s="8" t="s">
        <v>27</v>
      </c>
      <c r="F18" s="9" t="s">
        <v>66</v>
      </c>
      <c r="G18" s="8" t="s">
        <v>33</v>
      </c>
      <c r="H18" s="8" t="s">
        <v>67</v>
      </c>
      <c r="I18" s="8" t="s">
        <v>26</v>
      </c>
      <c r="J18" s="10">
        <f>IFERROR(__xludf.DUMMYFUNCTION("IF(ISDATE(A18), DATE(YEAR(A18), MONTH(A18), DAY(A18)+ IFS(ISNUMBER(SEARCH(""Red"", E18)), 1, ISNUMBER(SEARCH(""Orange"", E18)), 3, ISNUMBER(SEARCH(""Yellow"", E18)), 10, ISNUMBER(SEARCH(""Ivory"", E18)), 21,TRUE, ""60"")), """")"),45946.0)</f>
        <v>45946</v>
      </c>
      <c r="K18" s="11">
        <v>45945.0</v>
      </c>
      <c r="L18" s="6"/>
      <c r="M18" s="6"/>
      <c r="N18" s="6"/>
      <c r="O18" s="6"/>
      <c r="P18" s="6"/>
    </row>
    <row r="19" ht="22.5" customHeight="1">
      <c r="A19" s="7">
        <v>45946.68127724537</v>
      </c>
      <c r="B19" s="8" t="str">
        <f t="shared" si="1"/>
        <v>jam834@cornell.edu</v>
      </c>
      <c r="C19" s="8" t="s">
        <v>39</v>
      </c>
      <c r="D19" s="8" t="s">
        <v>43</v>
      </c>
      <c r="E19" s="8" t="s">
        <v>68</v>
      </c>
      <c r="F19" s="12"/>
      <c r="G19" s="8" t="s">
        <v>37</v>
      </c>
      <c r="H19" s="8" t="s">
        <v>69</v>
      </c>
      <c r="I19" s="8" t="s">
        <v>26</v>
      </c>
      <c r="J19" s="10">
        <f>IFERROR(__xludf.DUMMYFUNCTION("IF(ISDATE(A19), DATE(YEAR(A19), MONTH(A19), DAY(A19)+ IFS(ISNUMBER(SEARCH(""Red"", E19)), 1, ISNUMBER(SEARCH(""Orange"", E19)), 3, ISNUMBER(SEARCH(""Yellow"", E19)), 10, ISNUMBER(SEARCH(""Ivory"", E19)), 21,TRUE, ""60"")), """")"),45947.0)</f>
        <v>45947</v>
      </c>
      <c r="K19" s="11">
        <v>45947.0</v>
      </c>
      <c r="L19" s="6"/>
      <c r="M19" s="6"/>
      <c r="N19" s="6"/>
      <c r="O19" s="6"/>
      <c r="P19" s="6"/>
    </row>
    <row r="20" ht="22.5" customHeight="1">
      <c r="A20" s="7">
        <v>45950.385092453704</v>
      </c>
      <c r="B20" s="8" t="str">
        <f t="shared" si="1"/>
        <v>nhh5@cornell.edu</v>
      </c>
      <c r="C20" s="8" t="s">
        <v>70</v>
      </c>
      <c r="D20" s="8" t="s">
        <v>65</v>
      </c>
      <c r="E20" s="8" t="s">
        <v>68</v>
      </c>
      <c r="F20" s="9" t="s">
        <v>71</v>
      </c>
      <c r="G20" s="8" t="s">
        <v>33</v>
      </c>
      <c r="H20" s="8" t="s">
        <v>72</v>
      </c>
      <c r="I20" s="8" t="s">
        <v>26</v>
      </c>
      <c r="J20" s="10">
        <f>IFERROR(__xludf.DUMMYFUNCTION("IF(ISDATE(A20), DATE(YEAR(A20), MONTH(A20), DAY(A20)+ IFS(ISNUMBER(SEARCH(""Red"", E20)), 1, ISNUMBER(SEARCH(""Orange"", E20)), 3, ISNUMBER(SEARCH(""Yellow"", E20)), 10, ISNUMBER(SEARCH(""Ivory"", E20)), 21,TRUE, ""60"")), """")"),45951.0)</f>
        <v>45951</v>
      </c>
      <c r="K20" s="11">
        <v>45950.0</v>
      </c>
      <c r="L20" s="6"/>
      <c r="M20" s="6"/>
      <c r="N20" s="6"/>
      <c r="O20" s="6"/>
      <c r="P20" s="6"/>
    </row>
    <row r="21" ht="22.5" customHeight="1">
      <c r="A21" s="7">
        <v>45952.583840810184</v>
      </c>
      <c r="B21" s="8" t="str">
        <f t="shared" si="1"/>
        <v>Nhh5@cornell.edu</v>
      </c>
      <c r="C21" s="8" t="s">
        <v>11</v>
      </c>
      <c r="D21" s="8" t="s">
        <v>43</v>
      </c>
      <c r="E21" s="8" t="s">
        <v>73</v>
      </c>
      <c r="F21" s="9" t="s">
        <v>74</v>
      </c>
      <c r="G21" s="8" t="s">
        <v>50</v>
      </c>
      <c r="H21" s="8" t="s">
        <v>75</v>
      </c>
      <c r="I21" s="8" t="s">
        <v>17</v>
      </c>
      <c r="J21" s="10">
        <f>IFERROR(__xludf.DUMMYFUNCTION("IF(ISDATE(A21), DATE(YEAR(A21), MONTH(A21), DAY(A21)+ IFS(ISNUMBER(SEARCH(""Red"", E21)), 1, ISNUMBER(SEARCH(""Orange"", E21)), 3, ISNUMBER(SEARCH(""Yellow"", E21)), 10, ISNUMBER(SEARCH(""Ivory"", E21)), 21,TRUE, ""60"")), """")"),46012.0)</f>
        <v>46012</v>
      </c>
      <c r="K21" s="11"/>
      <c r="L21" s="6"/>
      <c r="M21" s="6"/>
      <c r="N21" s="6"/>
      <c r="O21" s="6"/>
      <c r="P21" s="6"/>
    </row>
    <row r="22" ht="22.5" customHeight="1">
      <c r="A22" s="7">
        <v>45952.58536732639</v>
      </c>
      <c r="B22" s="8" t="str">
        <f t="shared" si="1"/>
        <v>Nhh5@cornell.edu</v>
      </c>
      <c r="C22" s="8" t="s">
        <v>11</v>
      </c>
      <c r="D22" s="8" t="s">
        <v>43</v>
      </c>
      <c r="E22" s="8" t="s">
        <v>48</v>
      </c>
      <c r="F22" s="9" t="s">
        <v>76</v>
      </c>
      <c r="G22" s="8" t="s">
        <v>50</v>
      </c>
      <c r="H22" s="8" t="s">
        <v>77</v>
      </c>
      <c r="I22" s="8" t="s">
        <v>78</v>
      </c>
      <c r="J22" s="10">
        <f>IFERROR(__xludf.DUMMYFUNCTION("IF(ISDATE(A22), DATE(YEAR(A22), MONTH(A22), DAY(A22)+ IFS(ISNUMBER(SEARCH(""Red"", E22)), 1, ISNUMBER(SEARCH(""Orange"", E22)), 3, ISNUMBER(SEARCH(""Yellow"", E22)), 10, ISNUMBER(SEARCH(""Ivory"", E22)), 21,TRUE, ""60"")), """")"),45973.0)</f>
        <v>45973</v>
      </c>
      <c r="K22" s="11">
        <v>45964.0</v>
      </c>
      <c r="L22" s="6"/>
      <c r="M22" s="6"/>
      <c r="N22" s="6"/>
      <c r="O22" s="6"/>
      <c r="P22" s="6"/>
    </row>
    <row r="23" ht="22.5" customHeight="1">
      <c r="A23" s="7">
        <v>45959.3760993287</v>
      </c>
      <c r="B23" s="8" t="str">
        <f t="shared" si="1"/>
        <v>Nhh5@cornell.edu</v>
      </c>
      <c r="C23" s="8" t="s">
        <v>11</v>
      </c>
      <c r="D23" s="8" t="s">
        <v>65</v>
      </c>
      <c r="E23" s="8" t="s">
        <v>27</v>
      </c>
      <c r="F23" s="12"/>
      <c r="G23" s="8" t="s">
        <v>45</v>
      </c>
      <c r="H23" s="8" t="s">
        <v>79</v>
      </c>
      <c r="I23" s="8" t="s">
        <v>26</v>
      </c>
      <c r="J23" s="10">
        <f>IFERROR(__xludf.DUMMYFUNCTION("IF(ISDATE(A23), DATE(YEAR(A23), MONTH(A23), DAY(A23)+ IFS(ISNUMBER(SEARCH(""Red"", E23)), 1, ISNUMBER(SEARCH(""Orange"", E23)), 3, ISNUMBER(SEARCH(""Yellow"", E23)), 10, ISNUMBER(SEARCH(""Ivory"", E23)), 21,TRUE, ""60"")), """")"),45962.0)</f>
        <v>45962</v>
      </c>
      <c r="K23" s="11">
        <v>45962.0</v>
      </c>
      <c r="L23" s="6"/>
      <c r="M23" s="6"/>
      <c r="N23" s="6"/>
      <c r="O23" s="6"/>
      <c r="P23" s="6"/>
    </row>
    <row r="24" ht="22.5" customHeight="1">
      <c r="A24" s="7">
        <v>45959.37693533565</v>
      </c>
      <c r="B24" s="8" t="str">
        <f t="shared" si="1"/>
        <v>Nhh5@cornell.edu</v>
      </c>
      <c r="C24" s="8" t="s">
        <v>11</v>
      </c>
      <c r="D24" s="8" t="s">
        <v>65</v>
      </c>
      <c r="E24" s="8" t="s">
        <v>68</v>
      </c>
      <c r="F24" s="9" t="s">
        <v>80</v>
      </c>
      <c r="G24" s="8" t="s">
        <v>37</v>
      </c>
      <c r="H24" s="8" t="s">
        <v>81</v>
      </c>
      <c r="I24" s="8" t="s">
        <v>26</v>
      </c>
      <c r="J24" s="10">
        <f>IFERROR(__xludf.DUMMYFUNCTION("IF(ISDATE(A24), DATE(YEAR(A24), MONTH(A24), DAY(A24)+ IFS(ISNUMBER(SEARCH(""Red"", E24)), 1, ISNUMBER(SEARCH(""Orange"", E24)), 3, ISNUMBER(SEARCH(""Yellow"", E24)), 10, ISNUMBER(SEARCH(""Ivory"", E24)), 21,TRUE, ""60"")), """")"),45960.0)</f>
        <v>45960</v>
      </c>
      <c r="K24" s="11">
        <v>45960.0</v>
      </c>
      <c r="L24" s="6"/>
      <c r="M24" s="6"/>
      <c r="N24" s="6"/>
      <c r="O24" s="6"/>
      <c r="P24" s="6"/>
    </row>
    <row r="25" ht="22.5" customHeight="1">
      <c r="A25" s="7">
        <v>45959.3776922338</v>
      </c>
      <c r="B25" s="8" t="str">
        <f t="shared" si="1"/>
        <v>Nhh5@cornell.edu</v>
      </c>
      <c r="C25" s="8" t="s">
        <v>11</v>
      </c>
      <c r="D25" s="8" t="s">
        <v>65</v>
      </c>
      <c r="E25" s="8" t="s">
        <v>68</v>
      </c>
      <c r="F25" s="9" t="s">
        <v>82</v>
      </c>
      <c r="G25" s="8" t="s">
        <v>33</v>
      </c>
      <c r="H25" s="8" t="s">
        <v>83</v>
      </c>
      <c r="I25" s="8" t="s">
        <v>26</v>
      </c>
      <c r="J25" s="10">
        <f>IFERROR(__xludf.DUMMYFUNCTION("IF(ISDATE(A25), DATE(YEAR(A25), MONTH(A25), DAY(A25)+ IFS(ISNUMBER(SEARCH(""Red"", E25)), 1, ISNUMBER(SEARCH(""Orange"", E25)), 3, ISNUMBER(SEARCH(""Yellow"", E25)), 10, ISNUMBER(SEARCH(""Ivory"", E25)), 21,TRUE, ""60"")), """")"),45960.0)</f>
        <v>45960</v>
      </c>
      <c r="K25" s="11">
        <v>45960.0</v>
      </c>
      <c r="L25" s="6"/>
      <c r="M25" s="6"/>
      <c r="N25" s="6"/>
      <c r="O25" s="6"/>
      <c r="P25" s="6"/>
    </row>
    <row r="26" ht="22.5" customHeight="1">
      <c r="A26" s="7">
        <v>45959.378573344904</v>
      </c>
      <c r="B26" s="8" t="str">
        <f t="shared" si="1"/>
        <v>Nhh5@cornell.edu</v>
      </c>
      <c r="C26" s="8" t="s">
        <v>11</v>
      </c>
      <c r="D26" s="8" t="s">
        <v>22</v>
      </c>
      <c r="E26" s="8" t="s">
        <v>68</v>
      </c>
      <c r="F26" s="9" t="s">
        <v>84</v>
      </c>
      <c r="G26" s="8" t="s">
        <v>33</v>
      </c>
      <c r="H26" s="8" t="s">
        <v>85</v>
      </c>
      <c r="I26" s="8" t="s">
        <v>26</v>
      </c>
      <c r="J26" s="10">
        <f>IFERROR(__xludf.DUMMYFUNCTION("IF(ISDATE(A26), DATE(YEAR(A26), MONTH(A26), DAY(A26)+ IFS(ISNUMBER(SEARCH(""Red"", E26)), 1, ISNUMBER(SEARCH(""Orange"", E26)), 3, ISNUMBER(SEARCH(""Yellow"", E26)), 10, ISNUMBER(SEARCH(""Ivory"", E26)), 21,TRUE, ""60"")), """")"),45960.0)</f>
        <v>45960</v>
      </c>
      <c r="K26" s="11">
        <v>45960.0</v>
      </c>
      <c r="L26" s="6"/>
      <c r="M26" s="6"/>
      <c r="N26" s="6"/>
      <c r="O26" s="6"/>
      <c r="P26" s="6"/>
    </row>
    <row r="27" ht="22.5" customHeight="1">
      <c r="A27" s="7">
        <v>45959.674504826384</v>
      </c>
      <c r="B27" s="8" t="str">
        <f t="shared" si="1"/>
        <v>Nhh5@cornell.edu</v>
      </c>
      <c r="C27" s="8" t="s">
        <v>11</v>
      </c>
      <c r="D27" s="8" t="s">
        <v>43</v>
      </c>
      <c r="E27" s="8" t="s">
        <v>86</v>
      </c>
      <c r="F27" s="9" t="s">
        <v>87</v>
      </c>
      <c r="G27" s="8" t="s">
        <v>37</v>
      </c>
      <c r="H27" s="8" t="s">
        <v>88</v>
      </c>
      <c r="I27" s="8" t="s">
        <v>26</v>
      </c>
      <c r="J27" s="10">
        <f>IFERROR(__xludf.DUMMYFUNCTION("IF(ISDATE(A27), DATE(YEAR(A27), MONTH(A27), DAY(A27)+ IFS(ISNUMBER(SEARCH(""Red"", E27)), 1, ISNUMBER(SEARCH(""Orange"", E27)), 3, ISNUMBER(SEARCH(""Yellow"", E27)), 10, ISNUMBER(SEARCH(""Ivory"", E27)), 21,TRUE, ""60"")), """")"),45969.0)</f>
        <v>45969</v>
      </c>
      <c r="K27" s="11">
        <v>45962.0</v>
      </c>
      <c r="L27" s="6"/>
      <c r="M27" s="6"/>
      <c r="N27" s="6"/>
      <c r="O27" s="6"/>
      <c r="P27" s="6"/>
    </row>
    <row r="28" ht="22.5" customHeight="1">
      <c r="A28" s="7">
        <v>45961.383509085645</v>
      </c>
      <c r="B28" s="8" t="str">
        <f t="shared" si="1"/>
        <v>Nhh5@cornell.edu</v>
      </c>
      <c r="C28" s="8" t="s">
        <v>11</v>
      </c>
      <c r="D28" s="8" t="s">
        <v>89</v>
      </c>
      <c r="E28" s="8" t="s">
        <v>86</v>
      </c>
      <c r="F28" s="12"/>
      <c r="G28" s="8" t="s">
        <v>20</v>
      </c>
      <c r="H28" s="8" t="s">
        <v>90</v>
      </c>
      <c r="I28" s="8" t="s">
        <v>26</v>
      </c>
      <c r="J28" s="10">
        <f>IFERROR(__xludf.DUMMYFUNCTION("IF(ISDATE(A28), DATE(YEAR(A28), MONTH(A28), DAY(A28)+ IFS(ISNUMBER(SEARCH(""Red"", E28)), 1, ISNUMBER(SEARCH(""Orange"", E28)), 3, ISNUMBER(SEARCH(""Yellow"", E28)), 10, ISNUMBER(SEARCH(""Ivory"", E28)), 21,TRUE, ""60"")), """")"),45971.0)</f>
        <v>45971</v>
      </c>
      <c r="K28" s="11">
        <v>45972.0</v>
      </c>
      <c r="L28" s="6"/>
      <c r="M28" s="6"/>
      <c r="N28" s="6"/>
      <c r="O28" s="6"/>
      <c r="P28" s="6"/>
    </row>
    <row r="29" ht="22.5" customHeight="1">
      <c r="A29" s="7">
        <v>45961.38751590278</v>
      </c>
      <c r="B29" s="8" t="str">
        <f t="shared" si="1"/>
        <v>Nhh5@cornell.edu</v>
      </c>
      <c r="C29" s="8" t="s">
        <v>11</v>
      </c>
      <c r="D29" s="8" t="s">
        <v>43</v>
      </c>
      <c r="E29" s="8" t="s">
        <v>27</v>
      </c>
      <c r="F29" s="9" t="s">
        <v>91</v>
      </c>
      <c r="G29" s="8" t="s">
        <v>45</v>
      </c>
      <c r="H29" s="8" t="s">
        <v>92</v>
      </c>
      <c r="I29" s="12"/>
      <c r="J29" s="10">
        <f>IFERROR(__xludf.DUMMYFUNCTION("IF(ISDATE(A29), DATE(YEAR(A29), MONTH(A29), DAY(A29)+ IFS(ISNUMBER(SEARCH(""Red"", E29)), 1, ISNUMBER(SEARCH(""Orange"", E29)), 3, ISNUMBER(SEARCH(""Yellow"", E29)), 10, ISNUMBER(SEARCH(""Ivory"", E29)), 21,TRUE, ""60"")), """")"),45964.0)</f>
        <v>45964</v>
      </c>
      <c r="K29" s="11">
        <v>45965.0</v>
      </c>
      <c r="L29" s="6"/>
      <c r="M29" s="6"/>
      <c r="N29" s="6"/>
      <c r="O29" s="6"/>
      <c r="P29" s="6"/>
    </row>
    <row r="30" ht="22.5" customHeight="1">
      <c r="A30" s="7">
        <v>45961.38950387732</v>
      </c>
      <c r="B30" s="8" t="str">
        <f t="shared" si="1"/>
        <v>Nhh5@cornell.edu</v>
      </c>
      <c r="C30" s="8" t="s">
        <v>11</v>
      </c>
      <c r="D30" s="8" t="s">
        <v>43</v>
      </c>
      <c r="E30" s="8" t="s">
        <v>86</v>
      </c>
      <c r="F30" s="9" t="s">
        <v>93</v>
      </c>
      <c r="G30" s="8" t="s">
        <v>15</v>
      </c>
      <c r="H30" s="8" t="s">
        <v>94</v>
      </c>
      <c r="I30" s="12"/>
      <c r="J30" s="10">
        <f>IFERROR(__xludf.DUMMYFUNCTION("IF(ISDATE(A30), DATE(YEAR(A30), MONTH(A30), DAY(A30)+ IFS(ISNUMBER(SEARCH(""Red"", E30)), 1, ISNUMBER(SEARCH(""Orange"", E30)), 3, ISNUMBER(SEARCH(""Yellow"", E30)), 10, ISNUMBER(SEARCH(""Ivory"", E30)), 21,TRUE, ""60"")), """")"),45971.0)</f>
        <v>45971</v>
      </c>
      <c r="K30" s="11">
        <v>45971.0</v>
      </c>
      <c r="L30" s="6"/>
      <c r="M30" s="6"/>
      <c r="N30" s="6"/>
      <c r="O30" s="6"/>
      <c r="P30" s="6"/>
    </row>
    <row r="31" ht="22.5" customHeight="1">
      <c r="A31" s="7">
        <v>45961.39415204861</v>
      </c>
      <c r="B31" s="8" t="str">
        <f t="shared" si="1"/>
        <v>Nhh5@cornell.edu</v>
      </c>
      <c r="C31" s="8" t="s">
        <v>11</v>
      </c>
      <c r="D31" s="8" t="s">
        <v>65</v>
      </c>
      <c r="E31" s="8" t="s">
        <v>86</v>
      </c>
      <c r="F31" s="13" t="s">
        <v>95</v>
      </c>
      <c r="G31" s="8" t="s">
        <v>15</v>
      </c>
      <c r="H31" s="8" t="s">
        <v>96</v>
      </c>
      <c r="I31" s="8" t="s">
        <v>26</v>
      </c>
      <c r="J31" s="10">
        <f>IFERROR(__xludf.DUMMYFUNCTION("IF(ISDATE(A31), DATE(YEAR(A31), MONTH(A31), DAY(A31)+ IFS(ISNUMBER(SEARCH(""Red"", E31)), 1, ISNUMBER(SEARCH(""Orange"", E31)), 3, ISNUMBER(SEARCH(""Yellow"", E31)), 10, ISNUMBER(SEARCH(""Ivory"", E31)), 21,TRUE, ""60"")), """")"),45971.0)</f>
        <v>45971</v>
      </c>
      <c r="K31" s="14"/>
      <c r="L31" s="6"/>
      <c r="M31" s="6"/>
      <c r="N31" s="6"/>
      <c r="O31" s="6"/>
      <c r="P31" s="6"/>
    </row>
    <row r="32" ht="22.5" customHeight="1">
      <c r="A32" s="7">
        <v>45967.54359380787</v>
      </c>
      <c r="B32" s="8" t="str">
        <f t="shared" si="1"/>
        <v>Nhh5@cornell.edu</v>
      </c>
      <c r="C32" s="8" t="s">
        <v>11</v>
      </c>
      <c r="D32" s="8" t="s">
        <v>65</v>
      </c>
      <c r="E32" s="8" t="s">
        <v>73</v>
      </c>
      <c r="F32" s="9" t="s">
        <v>97</v>
      </c>
      <c r="G32" s="8" t="s">
        <v>45</v>
      </c>
      <c r="H32" s="8" t="s">
        <v>98</v>
      </c>
      <c r="I32" s="8" t="s">
        <v>26</v>
      </c>
      <c r="J32" s="10">
        <f>IFERROR(__xludf.DUMMYFUNCTION("IF(ISDATE(A32), DATE(YEAR(A32), MONTH(A32), DAY(A32)+ IFS(ISNUMBER(SEARCH(""Red"", E32)), 1, ISNUMBER(SEARCH(""Orange"", E32)), 3, ISNUMBER(SEARCH(""Yellow"", E32)), 10, ISNUMBER(SEARCH(""Ivory"", E32)), 21,TRUE, ""60"")), """")"),46027.0)</f>
        <v>46027</v>
      </c>
      <c r="K32" s="11">
        <v>45966.0</v>
      </c>
      <c r="L32" s="6"/>
      <c r="M32" s="6"/>
      <c r="N32" s="6"/>
      <c r="O32" s="6"/>
      <c r="P32" s="6"/>
    </row>
    <row r="33" ht="22.5" customHeight="1">
      <c r="A33" s="7">
        <v>45967.57011284722</v>
      </c>
      <c r="B33" s="8" t="str">
        <f t="shared" si="1"/>
        <v>Nhh5@cornell.edu</v>
      </c>
      <c r="C33" s="8" t="s">
        <v>11</v>
      </c>
      <c r="D33" s="8" t="s">
        <v>89</v>
      </c>
      <c r="E33" s="8" t="s">
        <v>48</v>
      </c>
      <c r="F33" s="9" t="s">
        <v>99</v>
      </c>
      <c r="G33" s="8" t="s">
        <v>15</v>
      </c>
      <c r="H33" s="8" t="s">
        <v>100</v>
      </c>
      <c r="I33" s="8" t="s">
        <v>26</v>
      </c>
      <c r="J33" s="10">
        <f>IFERROR(__xludf.DUMMYFUNCTION("IF(ISDATE(A33), DATE(YEAR(A33), MONTH(A33), DAY(A33)+ IFS(ISNUMBER(SEARCH(""Red"", E33)), 1, ISNUMBER(SEARCH(""Orange"", E33)), 3, ISNUMBER(SEARCH(""Yellow"", E33)), 10, ISNUMBER(SEARCH(""Ivory"", E33)), 21,TRUE, ""60"")), """")"),45988.0)</f>
        <v>45988</v>
      </c>
      <c r="K33" s="14"/>
      <c r="L33" s="6"/>
      <c r="M33" s="6"/>
      <c r="N33" s="6"/>
      <c r="O33" s="6"/>
      <c r="P33" s="6"/>
    </row>
    <row r="34" ht="22.5" customHeight="1">
      <c r="A34" s="7">
        <v>45967.57237409722</v>
      </c>
      <c r="B34" s="8" t="str">
        <f t="shared" si="1"/>
        <v>Nhh5 @cornell.edu</v>
      </c>
      <c r="C34" s="8" t="s">
        <v>47</v>
      </c>
      <c r="D34" s="8" t="s">
        <v>101</v>
      </c>
      <c r="E34" s="8" t="s">
        <v>86</v>
      </c>
      <c r="F34" s="9" t="s">
        <v>102</v>
      </c>
      <c r="G34" s="8" t="s">
        <v>20</v>
      </c>
      <c r="H34" s="8" t="s">
        <v>103</v>
      </c>
      <c r="I34" s="8" t="s">
        <v>26</v>
      </c>
      <c r="J34" s="10">
        <f>IFERROR(__xludf.DUMMYFUNCTION("IF(ISDATE(A34), DATE(YEAR(A34), MONTH(A34), DAY(A34)+ IFS(ISNUMBER(SEARCH(""Red"", E34)), 1, ISNUMBER(SEARCH(""Orange"", E34)), 3, ISNUMBER(SEARCH(""Yellow"", E34)), 10, ISNUMBER(SEARCH(""Ivory"", E34)), 21,TRUE, ""60"")), """")"),45977.0)</f>
        <v>45977</v>
      </c>
      <c r="K34" s="11">
        <v>45971.0</v>
      </c>
      <c r="L34" s="6"/>
      <c r="M34" s="6"/>
      <c r="N34" s="6"/>
      <c r="O34" s="6"/>
      <c r="P34" s="6"/>
    </row>
    <row r="35" ht="22.5" customHeight="1">
      <c r="A35" s="15">
        <v>45971.37496436342</v>
      </c>
      <c r="B35" s="16" t="s">
        <v>104</v>
      </c>
      <c r="C35" s="16" t="s">
        <v>47</v>
      </c>
      <c r="D35" s="16" t="s">
        <v>22</v>
      </c>
      <c r="E35" s="16" t="s">
        <v>105</v>
      </c>
      <c r="F35" s="17" t="s">
        <v>106</v>
      </c>
      <c r="G35" s="16" t="s">
        <v>107</v>
      </c>
      <c r="H35" s="16" t="s">
        <v>108</v>
      </c>
      <c r="I35" s="16" t="s">
        <v>26</v>
      </c>
      <c r="J35" s="18">
        <f>IFERROR(__xludf.DUMMYFUNCTION("IF(ISDATE(A35), DATE(YEAR(A35), MONTH(A35), DAY(A35)+ IFS(ISNUMBER(SEARCH(""Red"", E35)), 1, ISNUMBER(SEARCH(""Orange"", E35)), 3, ISNUMBER(SEARCH(""Yellow"", E35)), 10, ISNUMBER(SEARCH(""Ivory"", E35)), 21,TRUE, ""60"")), """")"),45981.0)</f>
        <v>45981</v>
      </c>
      <c r="K35" s="19">
        <v>45972.0</v>
      </c>
    </row>
    <row r="36" ht="22.5" customHeight="1">
      <c r="A36" s="15">
        <v>45971.420775555554</v>
      </c>
      <c r="B36" s="16" t="s">
        <v>104</v>
      </c>
      <c r="C36" s="16" t="s">
        <v>11</v>
      </c>
      <c r="D36" s="16" t="s">
        <v>22</v>
      </c>
      <c r="E36" s="16" t="s">
        <v>105</v>
      </c>
      <c r="F36" s="17" t="s">
        <v>109</v>
      </c>
      <c r="G36" s="16" t="s">
        <v>110</v>
      </c>
      <c r="H36" s="16" t="s">
        <v>111</v>
      </c>
      <c r="I36" s="16" t="s">
        <v>26</v>
      </c>
      <c r="J36" s="18">
        <f>IFERROR(__xludf.DUMMYFUNCTION("IF(ISDATE(A36), DATE(YEAR(A36), MONTH(A36), DAY(A36)+ IFS(ISNUMBER(SEARCH(""Red"", E36)), 1, ISNUMBER(SEARCH(""Orange"", E36)), 3, ISNUMBER(SEARCH(""Yellow"", E36)), 10, ISNUMBER(SEARCH(""Ivory"", E36)), 21,TRUE, ""60"")), """")"),45981.0)</f>
        <v>45981</v>
      </c>
      <c r="K36" s="19">
        <v>45972.0</v>
      </c>
    </row>
    <row r="37" ht="22.5" customHeight="1">
      <c r="A37" s="15">
        <v>45971.42520186343</v>
      </c>
      <c r="B37" s="16" t="s">
        <v>104</v>
      </c>
      <c r="C37" s="16" t="s">
        <v>11</v>
      </c>
      <c r="D37" s="16" t="s">
        <v>65</v>
      </c>
      <c r="E37" s="16" t="s">
        <v>112</v>
      </c>
      <c r="F37" s="17" t="s">
        <v>113</v>
      </c>
      <c r="G37" s="16" t="s">
        <v>114</v>
      </c>
      <c r="H37" s="16" t="s">
        <v>115</v>
      </c>
      <c r="I37" s="16" t="s">
        <v>26</v>
      </c>
      <c r="J37" s="18">
        <f>IFERROR(__xludf.DUMMYFUNCTION("IF(ISDATE(A37), DATE(YEAR(A37), MONTH(A37), DAY(A37)+ IFS(ISNUMBER(SEARCH(""Red"", E37)), 1, ISNUMBER(SEARCH(""Orange"", E37)), 3, ISNUMBER(SEARCH(""Yellow"", E37)), 10, ISNUMBER(SEARCH(""Ivory"", E37)), 21,TRUE, ""60"")), """")"),45974.0)</f>
        <v>45974</v>
      </c>
      <c r="K37" s="19">
        <v>45973.0</v>
      </c>
    </row>
    <row r="38" ht="22.5" customHeight="1">
      <c r="A38" s="15">
        <v>45971.436663796296</v>
      </c>
      <c r="B38" s="16" t="s">
        <v>104</v>
      </c>
      <c r="C38" s="16" t="s">
        <v>11</v>
      </c>
      <c r="D38" s="16" t="s">
        <v>116</v>
      </c>
      <c r="E38" s="16" t="s">
        <v>112</v>
      </c>
      <c r="F38" s="17" t="s">
        <v>117</v>
      </c>
      <c r="G38" s="16" t="s">
        <v>37</v>
      </c>
      <c r="H38" s="16" t="s">
        <v>118</v>
      </c>
      <c r="I38" s="16" t="s">
        <v>26</v>
      </c>
      <c r="J38" s="18">
        <f>IFERROR(__xludf.DUMMYFUNCTION("IF(ISDATE(A38), DATE(YEAR(A38), MONTH(A38), DAY(A38)+ IFS(ISNUMBER(SEARCH(""Red"", E38)), 1, ISNUMBER(SEARCH(""Orange"", E38)), 3, ISNUMBER(SEARCH(""Yellow"", E38)), 10, ISNUMBER(SEARCH(""Ivory"", E38)), 21,TRUE, ""60"")), """")"),45974.0)</f>
        <v>45974</v>
      </c>
      <c r="K38" s="20">
        <v>45978.0</v>
      </c>
    </row>
    <row r="39" ht="22.5" customHeight="1">
      <c r="A39" s="15">
        <v>45974.685260185186</v>
      </c>
      <c r="B39" s="16" t="s">
        <v>119</v>
      </c>
      <c r="C39" s="16" t="s">
        <v>39</v>
      </c>
      <c r="D39" s="16" t="s">
        <v>120</v>
      </c>
      <c r="E39" s="16" t="s">
        <v>112</v>
      </c>
      <c r="F39" s="17" t="s">
        <v>121</v>
      </c>
      <c r="G39" s="16" t="s">
        <v>122</v>
      </c>
      <c r="H39" s="16" t="s">
        <v>123</v>
      </c>
      <c r="I39" s="16" t="s">
        <v>26</v>
      </c>
      <c r="J39" s="18">
        <f>IFERROR(__xludf.DUMMYFUNCTION("IF(ISDATE(A39), DATE(YEAR(A39), MONTH(A39), DAY(A39)+ IFS(ISNUMBER(SEARCH(""Red"", E39)), 1, ISNUMBER(SEARCH(""Orange"", E39)), 3, ISNUMBER(SEARCH(""Yellow"", E39)), 10, ISNUMBER(SEARCH(""Ivory"", E39)), 21,TRUE, ""60"")), """")"),45977.0)</f>
        <v>45977</v>
      </c>
      <c r="K39" s="21"/>
    </row>
    <row r="40" ht="22.5" customHeight="1">
      <c r="A40" s="15">
        <v>45974.685839259255</v>
      </c>
      <c r="B40" s="16" t="s">
        <v>119</v>
      </c>
      <c r="C40" s="16" t="s">
        <v>39</v>
      </c>
      <c r="D40" s="16" t="s">
        <v>120</v>
      </c>
      <c r="E40" s="16" t="s">
        <v>112</v>
      </c>
      <c r="F40" s="17" t="s">
        <v>124</v>
      </c>
      <c r="G40" s="16" t="s">
        <v>122</v>
      </c>
      <c r="H40" s="16" t="s">
        <v>125</v>
      </c>
      <c r="I40" s="16" t="s">
        <v>26</v>
      </c>
      <c r="J40" s="18">
        <f>IFERROR(__xludf.DUMMYFUNCTION("IF(ISDATE(A40), DATE(YEAR(A40), MONTH(A40), DAY(A40)+ IFS(ISNUMBER(SEARCH(""Red"", E40)), 1, ISNUMBER(SEARCH(""Orange"", E40)), 3, ISNUMBER(SEARCH(""Yellow"", E40)), 10, ISNUMBER(SEARCH(""Ivory"", E40)), 21,TRUE, ""60"")), """")"),45977.0)</f>
        <v>45977</v>
      </c>
      <c r="K40" s="21"/>
    </row>
    <row r="41" ht="22.5" customHeight="1">
      <c r="A41" s="15">
        <v>45974.68678934028</v>
      </c>
      <c r="B41" s="16" t="s">
        <v>119</v>
      </c>
      <c r="C41" s="16" t="s">
        <v>39</v>
      </c>
      <c r="D41" s="16" t="s">
        <v>126</v>
      </c>
      <c r="E41" s="16" t="s">
        <v>112</v>
      </c>
      <c r="F41" s="17" t="s">
        <v>127</v>
      </c>
      <c r="G41" s="16" t="s">
        <v>122</v>
      </c>
      <c r="H41" s="16" t="s">
        <v>128</v>
      </c>
      <c r="I41" s="21"/>
      <c r="J41" s="18">
        <f>IFERROR(__xludf.DUMMYFUNCTION("IF(ISDATE(A41), DATE(YEAR(A41), MONTH(A41), DAY(A41)+ IFS(ISNUMBER(SEARCH(""Red"", E41)), 1, ISNUMBER(SEARCH(""Orange"", E41)), 3, ISNUMBER(SEARCH(""Yellow"", E41)), 10, ISNUMBER(SEARCH(""Ivory"", E41)), 21,TRUE, ""60"")), """")"),45977.0)</f>
        <v>45977</v>
      </c>
      <c r="K41" s="21"/>
    </row>
    <row r="42" ht="22.5" customHeight="1">
      <c r="A42" s="15">
        <v>45975.72753590278</v>
      </c>
      <c r="B42" s="16" t="s">
        <v>104</v>
      </c>
      <c r="C42" s="16" t="s">
        <v>11</v>
      </c>
      <c r="D42" s="16" t="s">
        <v>65</v>
      </c>
      <c r="E42" s="16" t="s">
        <v>129</v>
      </c>
      <c r="F42" s="21"/>
      <c r="G42" s="16" t="s">
        <v>15</v>
      </c>
      <c r="H42" s="16" t="s">
        <v>98</v>
      </c>
      <c r="I42" s="16" t="s">
        <v>26</v>
      </c>
      <c r="J42" s="18">
        <f>IFERROR(__xludf.DUMMYFUNCTION("IF(ISDATE(A42), DATE(YEAR(A42), MONTH(A42), DAY(A42)+ IFS(ISNUMBER(SEARCH(""Red"", E42)), 1, ISNUMBER(SEARCH(""Orange"", E42)), 3, ISNUMBER(SEARCH(""Yellow"", E42)), 10, ISNUMBER(SEARCH(""Ivory"", E42)), 21,TRUE, ""60"")), """")"),46035.0)</f>
        <v>46035</v>
      </c>
      <c r="K42" s="21"/>
    </row>
    <row r="43" ht="22.5" customHeight="1">
      <c r="A43" s="15">
        <v>45976.529785729166</v>
      </c>
      <c r="B43" s="16" t="s">
        <v>119</v>
      </c>
      <c r="C43" s="16" t="s">
        <v>39</v>
      </c>
      <c r="D43" s="16" t="s">
        <v>130</v>
      </c>
      <c r="E43" s="16" t="s">
        <v>105</v>
      </c>
      <c r="F43" s="21"/>
      <c r="G43" s="16" t="s">
        <v>131</v>
      </c>
      <c r="H43" s="16" t="s">
        <v>132</v>
      </c>
      <c r="I43" s="16" t="s">
        <v>26</v>
      </c>
      <c r="J43" s="18">
        <f>IFERROR(__xludf.DUMMYFUNCTION("IF(ISDATE(A43), DATE(YEAR(A43), MONTH(A43), DAY(A43)+ IFS(ISNUMBER(SEARCH(""Red"", E43)), 1, ISNUMBER(SEARCH(""Orange"", E43)), 3, ISNUMBER(SEARCH(""Yellow"", E43)), 10, ISNUMBER(SEARCH(""Ivory"", E43)), 21,TRUE, ""60"")), """")"),45986.0)</f>
        <v>45986</v>
      </c>
      <c r="K43" s="21"/>
    </row>
    <row r="44" ht="22.5" customHeight="1">
      <c r="A44" s="15">
        <v>45977.41255084491</v>
      </c>
      <c r="B44" s="16" t="s">
        <v>133</v>
      </c>
      <c r="C44" s="16" t="s">
        <v>134</v>
      </c>
      <c r="D44" s="16" t="s">
        <v>126</v>
      </c>
      <c r="E44" s="16" t="s">
        <v>135</v>
      </c>
      <c r="F44" s="17" t="s">
        <v>136</v>
      </c>
      <c r="G44" s="16" t="s">
        <v>122</v>
      </c>
      <c r="H44" s="16" t="s">
        <v>137</v>
      </c>
      <c r="I44" s="21"/>
      <c r="J44" s="18">
        <f>IFERROR(__xludf.DUMMYFUNCTION("IF(ISDATE(A44), DATE(YEAR(A44), MONTH(A44), DAY(A44)+ IFS(ISNUMBER(SEARCH(""Red"", E44)), 1, ISNUMBER(SEARCH(""Orange"", E44)), 3, ISNUMBER(SEARCH(""Yellow"", E44)), 10, ISNUMBER(SEARCH(""Ivory"", E44)), 21,TRUE, ""60"")), """")"),45978.0)</f>
        <v>45978</v>
      </c>
      <c r="K44" s="20">
        <v>45978.0</v>
      </c>
    </row>
    <row r="45" ht="22.5" customHeight="1">
      <c r="A45" s="15">
        <v>45978.62020722222</v>
      </c>
      <c r="B45" s="16" t="s">
        <v>104</v>
      </c>
      <c r="C45" s="16" t="s">
        <v>11</v>
      </c>
      <c r="D45" s="16" t="s">
        <v>65</v>
      </c>
      <c r="E45" s="16" t="s">
        <v>112</v>
      </c>
      <c r="F45" s="17" t="s">
        <v>138</v>
      </c>
      <c r="G45" s="16" t="s">
        <v>114</v>
      </c>
      <c r="H45" s="16" t="s">
        <v>139</v>
      </c>
      <c r="I45" s="16" t="s">
        <v>26</v>
      </c>
      <c r="J45" s="18">
        <f>IFERROR(__xludf.DUMMYFUNCTION("IF(ISDATE(A45), DATE(YEAR(A45), MONTH(A45), DAY(A45)+ IFS(ISNUMBER(SEARCH(""Red"", E45)), 1, ISNUMBER(SEARCH(""Orange"", E45)), 3, ISNUMBER(SEARCH(""Yellow"", E45)), 10, ISNUMBER(SEARCH(""Ivory"", E45)), 21,TRUE, ""60"")), """")"),45981.0)</f>
        <v>45981</v>
      </c>
      <c r="K45" s="20">
        <v>45979.0</v>
      </c>
    </row>
    <row r="46" ht="22.5" customHeight="1">
      <c r="A46" s="15">
        <v>45982.5971978125</v>
      </c>
      <c r="B46" s="16" t="s">
        <v>104</v>
      </c>
      <c r="C46" s="16" t="s">
        <v>11</v>
      </c>
      <c r="D46" s="16" t="s">
        <v>22</v>
      </c>
      <c r="E46" s="16" t="s">
        <v>112</v>
      </c>
      <c r="F46" s="17" t="s">
        <v>140</v>
      </c>
      <c r="G46" s="16" t="s">
        <v>110</v>
      </c>
      <c r="H46" s="16" t="s">
        <v>141</v>
      </c>
      <c r="I46" s="16" t="s">
        <v>26</v>
      </c>
      <c r="J46" s="18">
        <f>IFERROR(__xludf.DUMMYFUNCTION("IF(ISDATE(A46), DATE(YEAR(A46), MONTH(A46), DAY(A46)+ IFS(ISNUMBER(SEARCH(""Red"", E46)), 1, ISNUMBER(SEARCH(""Orange"", E46)), 3, ISNUMBER(SEARCH(""Yellow"", E46)), 10, ISNUMBER(SEARCH(""Ivory"", E46)), 21,TRUE, ""60"")), """")"),45985.0)</f>
        <v>45985</v>
      </c>
      <c r="K46" s="22">
        <v>45994.0</v>
      </c>
    </row>
    <row r="47" ht="22.5" customHeight="1">
      <c r="A47" s="15">
        <v>45982.60735564815</v>
      </c>
      <c r="B47" s="16" t="s">
        <v>104</v>
      </c>
      <c r="C47" s="16" t="s">
        <v>11</v>
      </c>
      <c r="D47" s="16" t="s">
        <v>22</v>
      </c>
      <c r="E47" s="16" t="s">
        <v>105</v>
      </c>
      <c r="F47" s="21"/>
      <c r="G47" s="16" t="s">
        <v>15</v>
      </c>
      <c r="H47" s="16" t="s">
        <v>142</v>
      </c>
      <c r="I47" s="16" t="s">
        <v>26</v>
      </c>
      <c r="J47" s="18">
        <f>IFERROR(__xludf.DUMMYFUNCTION("IF(ISDATE(A47), DATE(YEAR(A47), MONTH(A47), DAY(A47)+ IFS(ISNUMBER(SEARCH(""Red"", E47)), 1, ISNUMBER(SEARCH(""Orange"", E47)), 3, ISNUMBER(SEARCH(""Yellow"", E47)), 10, ISNUMBER(SEARCH(""Ivory"", E47)), 21,TRUE, ""60"")), """")"),45992.0)</f>
        <v>45992</v>
      </c>
      <c r="K47" s="20"/>
    </row>
    <row r="48" ht="22.5" customHeight="1">
      <c r="A48" s="15">
        <v>45992.8347530787</v>
      </c>
      <c r="B48" s="16" t="s">
        <v>143</v>
      </c>
      <c r="C48" s="16" t="s">
        <v>144</v>
      </c>
      <c r="D48" s="16" t="s">
        <v>43</v>
      </c>
      <c r="E48" s="16" t="s">
        <v>105</v>
      </c>
      <c r="F48" s="21"/>
      <c r="G48" s="16" t="s">
        <v>15</v>
      </c>
      <c r="H48" s="16" t="s">
        <v>145</v>
      </c>
      <c r="I48" s="21"/>
      <c r="J48" s="18">
        <f>IFERROR(__xludf.DUMMYFUNCTION("IF(ISDATE(A48), DATE(YEAR(A48), MONTH(A48), DAY(A48)+ IFS(ISNUMBER(SEARCH(""Red"", E48)), 1, ISNUMBER(SEARCH(""Orange"", E48)), 3, ISNUMBER(SEARCH(""Yellow"", E48)), 10, ISNUMBER(SEARCH(""Ivory"", E48)), 21,TRUE, ""60"")), """")"),46002.0)</f>
        <v>46002</v>
      </c>
      <c r="K48" s="20">
        <v>45994.0</v>
      </c>
    </row>
    <row r="49" ht="22.5" customHeight="1">
      <c r="A49" s="15">
        <v>46043.67915082176</v>
      </c>
      <c r="B49" s="16" t="s">
        <v>104</v>
      </c>
      <c r="C49" s="16" t="s">
        <v>11</v>
      </c>
      <c r="D49" s="16" t="s">
        <v>146</v>
      </c>
      <c r="E49" s="16" t="s">
        <v>112</v>
      </c>
      <c r="F49" s="17" t="s">
        <v>147</v>
      </c>
      <c r="G49" s="16" t="s">
        <v>37</v>
      </c>
      <c r="H49" s="16" t="s">
        <v>148</v>
      </c>
      <c r="I49" s="16" t="s">
        <v>26</v>
      </c>
      <c r="J49" s="18">
        <f>IFERROR(__xludf.DUMMYFUNCTION("IF(ISDATE(A49), DATE(YEAR(A49), MONTH(A49), DAY(A49)+ IFS(ISNUMBER(SEARCH(""Red"", E49)), 1, ISNUMBER(SEARCH(""Orange"", E49)), 3, ISNUMBER(SEARCH(""Yellow"", E49)), 10, ISNUMBER(SEARCH(""Ivory"", E49)), 21,TRUE, ""60"")), """")"),46046.0)</f>
        <v>46046</v>
      </c>
      <c r="K49" s="21"/>
    </row>
    <row r="50" ht="22.5" customHeight="1">
      <c r="A50" s="15">
        <v>46043.680367685185</v>
      </c>
      <c r="B50" s="16" t="s">
        <v>104</v>
      </c>
      <c r="C50" s="16" t="s">
        <v>11</v>
      </c>
      <c r="D50" s="16" t="s">
        <v>22</v>
      </c>
      <c r="E50" s="16" t="s">
        <v>112</v>
      </c>
      <c r="F50" s="17" t="s">
        <v>149</v>
      </c>
      <c r="G50" s="16" t="s">
        <v>37</v>
      </c>
      <c r="H50" s="16" t="s">
        <v>150</v>
      </c>
      <c r="I50" s="16" t="s">
        <v>26</v>
      </c>
      <c r="J50" s="18">
        <f>IFERROR(__xludf.DUMMYFUNCTION("IF(ISDATE(A50), DATE(YEAR(A50), MONTH(A50), DAY(A50)+ IFS(ISNUMBER(SEARCH(""Red"", E50)), 1, ISNUMBER(SEARCH(""Orange"", E50)), 3, ISNUMBER(SEARCH(""Yellow"", E50)), 10, ISNUMBER(SEARCH(""Ivory"", E50)), 21,TRUE, ""60"")), """")"),46046.0)</f>
        <v>46046</v>
      </c>
      <c r="K50" s="21"/>
    </row>
    <row r="51" ht="22.5" customHeight="1">
      <c r="A51" s="15">
        <v>46045.50030546296</v>
      </c>
      <c r="B51" s="16" t="s">
        <v>104</v>
      </c>
      <c r="C51" s="16" t="s">
        <v>11</v>
      </c>
      <c r="D51" s="16" t="s">
        <v>151</v>
      </c>
      <c r="E51" s="16" t="s">
        <v>105</v>
      </c>
      <c r="F51" s="17" t="s">
        <v>152</v>
      </c>
      <c r="G51" s="16" t="s">
        <v>15</v>
      </c>
      <c r="H51" s="16" t="s">
        <v>153</v>
      </c>
      <c r="I51" s="16" t="s">
        <v>26</v>
      </c>
      <c r="J51" s="18">
        <f>IFERROR(__xludf.DUMMYFUNCTION("IF(ISDATE(A51), DATE(YEAR(A51), MONTH(A51), DAY(A51)+ IFS(ISNUMBER(SEARCH(""Red"", E51)), 1, ISNUMBER(SEARCH(""Orange"", E51)), 3, ISNUMBER(SEARCH(""Yellow"", E51)), 10, ISNUMBER(SEARCH(""Ivory"", E51)), 21,TRUE, ""60"")), """")"),46055.0)</f>
        <v>46055</v>
      </c>
      <c r="K51" s="21"/>
    </row>
    <row r="52" ht="22.5" customHeight="1">
      <c r="A52" s="15">
        <v>46045.50255399305</v>
      </c>
      <c r="B52" s="16" t="s">
        <v>104</v>
      </c>
      <c r="C52" s="16" t="s">
        <v>11</v>
      </c>
      <c r="D52" s="16" t="s">
        <v>154</v>
      </c>
      <c r="E52" s="16" t="s">
        <v>105</v>
      </c>
      <c r="F52" s="17" t="s">
        <v>155</v>
      </c>
      <c r="G52" s="16" t="s">
        <v>15</v>
      </c>
      <c r="H52" s="16" t="s">
        <v>156</v>
      </c>
      <c r="I52" s="16" t="s">
        <v>26</v>
      </c>
      <c r="J52" s="18">
        <f>IFERROR(__xludf.DUMMYFUNCTION("IF(ISDATE(A52), DATE(YEAR(A52), MONTH(A52), DAY(A52)+ IFS(ISNUMBER(SEARCH(""Red"", E52)), 1, ISNUMBER(SEARCH(""Orange"", E52)), 3, ISNUMBER(SEARCH(""Yellow"", E52)), 10, ISNUMBER(SEARCH(""Ivory"", E52)), 21,TRUE, ""60"")), """")"),46055.0)</f>
        <v>46055</v>
      </c>
      <c r="K52" s="21"/>
    </row>
    <row r="53" ht="22.5" customHeight="1">
      <c r="A53" s="15">
        <v>46045.50353054398</v>
      </c>
      <c r="B53" s="16" t="s">
        <v>104</v>
      </c>
      <c r="C53" s="16" t="s">
        <v>11</v>
      </c>
      <c r="D53" s="16" t="s">
        <v>157</v>
      </c>
      <c r="E53" s="16" t="s">
        <v>105</v>
      </c>
      <c r="F53" s="17" t="s">
        <v>158</v>
      </c>
      <c r="G53" s="16" t="s">
        <v>15</v>
      </c>
      <c r="H53" s="16" t="s">
        <v>159</v>
      </c>
      <c r="I53" s="16" t="s">
        <v>26</v>
      </c>
      <c r="J53" s="18">
        <f>IFERROR(__xludf.DUMMYFUNCTION("IF(ISDATE(A53), DATE(YEAR(A53), MONTH(A53), DAY(A53)+ IFS(ISNUMBER(SEARCH(""Red"", E53)), 1, ISNUMBER(SEARCH(""Orange"", E53)), 3, ISNUMBER(SEARCH(""Yellow"", E53)), 10, ISNUMBER(SEARCH(""Ivory"", E53)), 21,TRUE, ""60"")), """")"),46055.0)</f>
        <v>46055</v>
      </c>
      <c r="K53" s="21"/>
    </row>
    <row r="54" ht="22.5" customHeight="1">
      <c r="A54" s="15">
        <v>46049.57463346065</v>
      </c>
      <c r="B54" s="16" t="s">
        <v>104</v>
      </c>
      <c r="C54" s="16" t="s">
        <v>11</v>
      </c>
      <c r="D54" s="16" t="s">
        <v>160</v>
      </c>
      <c r="E54" s="16" t="s">
        <v>105</v>
      </c>
      <c r="F54" s="17" t="s">
        <v>161</v>
      </c>
      <c r="G54" s="16" t="s">
        <v>37</v>
      </c>
      <c r="H54" s="16" t="s">
        <v>162</v>
      </c>
      <c r="I54" s="16" t="s">
        <v>26</v>
      </c>
      <c r="J54" s="18">
        <f>IFERROR(__xludf.DUMMYFUNCTION("IF(ISDATE(A54), DATE(YEAR(A54), MONTH(A54), DAY(A54)+ IFS(ISNUMBER(SEARCH(""Red"", E54)), 1, ISNUMBER(SEARCH(""Orange"", E54)), 3, ISNUMBER(SEARCH(""Yellow"", E54)), 10, ISNUMBER(SEARCH(""Ivory"", E54)), 21,TRUE, ""60"")), """")"),46059.0)</f>
        <v>46059</v>
      </c>
      <c r="K54" s="21"/>
    </row>
    <row r="55" ht="22.5" customHeight="1">
      <c r="A55" s="15">
        <v>46051.54456390046</v>
      </c>
      <c r="B55" s="16" t="s">
        <v>104</v>
      </c>
      <c r="C55" s="16" t="s">
        <v>11</v>
      </c>
      <c r="D55" s="16" t="s">
        <v>146</v>
      </c>
      <c r="E55" s="16" t="s">
        <v>112</v>
      </c>
      <c r="F55" s="17" t="s">
        <v>163</v>
      </c>
      <c r="G55" s="16" t="s">
        <v>37</v>
      </c>
      <c r="H55" s="16" t="s">
        <v>164</v>
      </c>
      <c r="I55" s="16" t="s">
        <v>26</v>
      </c>
      <c r="J55" s="18">
        <f>IFERROR(__xludf.DUMMYFUNCTION("IF(ISDATE(A55), DATE(YEAR(A55), MONTH(A55), DAY(A55)+ IFS(ISNUMBER(SEARCH(""Red"", E55)), 1, ISNUMBER(SEARCH(""Orange"", E55)), 3, ISNUMBER(SEARCH(""Yellow"", E55)), 10, ISNUMBER(SEARCH(""Ivory"", E55)), 21,TRUE, ""60"")), """")"),46054.0)</f>
        <v>46054</v>
      </c>
      <c r="K55" s="21"/>
    </row>
    <row r="56" ht="22.5" customHeight="1">
      <c r="A56" s="15">
        <v>46051.54628944444</v>
      </c>
      <c r="B56" s="16" t="s">
        <v>104</v>
      </c>
      <c r="C56" s="16" t="s">
        <v>11</v>
      </c>
      <c r="D56" s="16" t="s">
        <v>22</v>
      </c>
      <c r="E56" s="16" t="s">
        <v>105</v>
      </c>
      <c r="F56" s="17" t="s">
        <v>165</v>
      </c>
      <c r="G56" s="16" t="s">
        <v>15</v>
      </c>
      <c r="H56" s="16" t="s">
        <v>166</v>
      </c>
      <c r="I56" s="16" t="s">
        <v>26</v>
      </c>
      <c r="J56" s="18">
        <f>IFERROR(__xludf.DUMMYFUNCTION("IF(ISDATE(A56), DATE(YEAR(A56), MONTH(A56), DAY(A56)+ IFS(ISNUMBER(SEARCH(""Red"", E56)), 1, ISNUMBER(SEARCH(""Orange"", E56)), 3, ISNUMBER(SEARCH(""Yellow"", E56)), 10, ISNUMBER(SEARCH(""Ivory"", E56)), 21,TRUE, ""60"")), """")"),46061.0)</f>
        <v>46061</v>
      </c>
      <c r="K56" s="21"/>
    </row>
    <row r="57" ht="22.5" customHeight="1">
      <c r="A57" s="15">
        <v>46051.54701763889</v>
      </c>
      <c r="B57" s="16" t="s">
        <v>104</v>
      </c>
      <c r="C57" s="16" t="s">
        <v>11</v>
      </c>
      <c r="D57" s="16" t="s">
        <v>65</v>
      </c>
      <c r="E57" s="16" t="s">
        <v>105</v>
      </c>
      <c r="F57" s="17" t="s">
        <v>167</v>
      </c>
      <c r="G57" s="16" t="s">
        <v>15</v>
      </c>
      <c r="H57" s="16" t="s">
        <v>166</v>
      </c>
      <c r="I57" s="16" t="s">
        <v>26</v>
      </c>
      <c r="J57" s="18">
        <f>IFERROR(__xludf.DUMMYFUNCTION("IF(ISDATE(A57), DATE(YEAR(A57), MONTH(A57), DAY(A57)+ IFS(ISNUMBER(SEARCH(""Red"", E57)), 1, ISNUMBER(SEARCH(""Orange"", E57)), 3, ISNUMBER(SEARCH(""Yellow"", E57)), 10, ISNUMBER(SEARCH(""Ivory"", E57)), 21,TRUE, ""60"")), """")"),46061.0)</f>
        <v>46061</v>
      </c>
      <c r="K57" s="21"/>
    </row>
    <row r="58" ht="22.5" customHeight="1">
      <c r="A58" s="15">
        <v>46051.54879361111</v>
      </c>
      <c r="B58" s="16" t="s">
        <v>104</v>
      </c>
      <c r="C58" s="16" t="s">
        <v>11</v>
      </c>
      <c r="D58" s="16" t="s">
        <v>89</v>
      </c>
      <c r="E58" s="16" t="s">
        <v>105</v>
      </c>
      <c r="F58" s="17" t="s">
        <v>168</v>
      </c>
      <c r="G58" s="16" t="s">
        <v>15</v>
      </c>
      <c r="H58" s="16" t="s">
        <v>169</v>
      </c>
      <c r="I58" s="16" t="s">
        <v>26</v>
      </c>
      <c r="J58" s="18">
        <f>IFERROR(__xludf.DUMMYFUNCTION("IF(ISDATE(A58), DATE(YEAR(A58), MONTH(A58), DAY(A58)+ IFS(ISNUMBER(SEARCH(""Red"", E58)), 1, ISNUMBER(SEARCH(""Orange"", E58)), 3, ISNUMBER(SEARCH(""Yellow"", E58)), 10, ISNUMBER(SEARCH(""Ivory"", E58)), 21,TRUE, ""60"")), """")"),46061.0)</f>
        <v>46061</v>
      </c>
      <c r="K58" s="21"/>
    </row>
    <row r="59" ht="22.5" customHeight="1">
      <c r="A59" s="15">
        <v>46051.552248912034</v>
      </c>
      <c r="B59" s="16" t="s">
        <v>104</v>
      </c>
      <c r="C59" s="16" t="s">
        <v>11</v>
      </c>
      <c r="D59" s="16" t="s">
        <v>65</v>
      </c>
      <c r="E59" s="16" t="s">
        <v>135</v>
      </c>
      <c r="F59" s="17" t="s">
        <v>170</v>
      </c>
      <c r="G59" s="16" t="s">
        <v>122</v>
      </c>
      <c r="H59" s="16" t="s">
        <v>171</v>
      </c>
      <c r="I59" s="16" t="s">
        <v>26</v>
      </c>
      <c r="J59" s="18">
        <f>IFERROR(__xludf.DUMMYFUNCTION("IF(ISDATE(A59), DATE(YEAR(A59), MONTH(A59), DAY(A59)+ IFS(ISNUMBER(SEARCH(""Red"", E59)), 1, ISNUMBER(SEARCH(""Orange"", E59)), 3, ISNUMBER(SEARCH(""Yellow"", E59)), 10, ISNUMBER(SEARCH(""Ivory"", E59)), 21,TRUE, ""60"")), """")"),46052.0)</f>
        <v>46052</v>
      </c>
      <c r="K59" s="21"/>
    </row>
    <row r="60" ht="22.5" customHeight="1">
      <c r="A60" s="15">
        <v>46051.55352459491</v>
      </c>
      <c r="B60" s="16" t="s">
        <v>104</v>
      </c>
      <c r="C60" s="16" t="s">
        <v>11</v>
      </c>
      <c r="D60" s="16" t="s">
        <v>22</v>
      </c>
      <c r="E60" s="16" t="s">
        <v>135</v>
      </c>
      <c r="F60" s="17" t="s">
        <v>172</v>
      </c>
      <c r="G60" s="16" t="s">
        <v>122</v>
      </c>
      <c r="H60" s="16" t="s">
        <v>173</v>
      </c>
      <c r="I60" s="16" t="s">
        <v>26</v>
      </c>
      <c r="J60" s="18">
        <f>IFERROR(__xludf.DUMMYFUNCTION("IF(ISDATE(A60), DATE(YEAR(A60), MONTH(A60), DAY(A60)+ IFS(ISNUMBER(SEARCH(""Red"", E60)), 1, ISNUMBER(SEARCH(""Orange"", E60)), 3, ISNUMBER(SEARCH(""Yellow"", E60)), 10, ISNUMBER(SEARCH(""Ivory"", E60)), 21,TRUE, ""60"")), """")"),46052.0)</f>
        <v>46052</v>
      </c>
      <c r="K60" s="21"/>
    </row>
    <row r="61" ht="22.5" customHeight="1">
      <c r="A61" s="15">
        <v>46051.55725539352</v>
      </c>
      <c r="B61" s="16" t="s">
        <v>104</v>
      </c>
      <c r="C61" s="16" t="s">
        <v>11</v>
      </c>
      <c r="D61" s="16" t="s">
        <v>22</v>
      </c>
      <c r="E61" s="16" t="s">
        <v>112</v>
      </c>
      <c r="F61" s="17" t="s">
        <v>174</v>
      </c>
      <c r="G61" s="16" t="s">
        <v>37</v>
      </c>
      <c r="H61" s="16" t="s">
        <v>175</v>
      </c>
      <c r="I61" s="16" t="s">
        <v>26</v>
      </c>
      <c r="J61" s="18">
        <f>IFERROR(__xludf.DUMMYFUNCTION("IF(ISDATE(A61), DATE(YEAR(A61), MONTH(A61), DAY(A61)+ IFS(ISNUMBER(SEARCH(""Red"", E61)), 1, ISNUMBER(SEARCH(""Orange"", E61)), 3, ISNUMBER(SEARCH(""Yellow"", E61)), 10, ISNUMBER(SEARCH(""Ivory"", E61)), 21,TRUE, ""60"")), """")"),46054.0)</f>
        <v>46054</v>
      </c>
      <c r="K61" s="21"/>
    </row>
    <row r="62" ht="22.5" customHeight="1">
      <c r="A62" s="15">
        <v>46051.56136451389</v>
      </c>
      <c r="B62" s="16" t="s">
        <v>104</v>
      </c>
      <c r="C62" s="16" t="s">
        <v>11</v>
      </c>
      <c r="D62" s="16" t="s">
        <v>22</v>
      </c>
      <c r="E62" s="16" t="s">
        <v>105</v>
      </c>
      <c r="F62" s="17" t="s">
        <v>176</v>
      </c>
      <c r="G62" s="16" t="s">
        <v>15</v>
      </c>
      <c r="H62" s="16" t="s">
        <v>177</v>
      </c>
      <c r="I62" s="16" t="s">
        <v>26</v>
      </c>
      <c r="J62" s="18">
        <f>IFERROR(__xludf.DUMMYFUNCTION("IF(ISDATE(A62), DATE(YEAR(A62), MONTH(A62), DAY(A62)+ IFS(ISNUMBER(SEARCH(""Red"", E62)), 1, ISNUMBER(SEARCH(""Orange"", E62)), 3, ISNUMBER(SEARCH(""Yellow"", E62)), 10, ISNUMBER(SEARCH(""Ivory"", E62)), 21,TRUE, ""60"")), """")"),46061.0)</f>
        <v>46061</v>
      </c>
      <c r="K62" s="21"/>
    </row>
    <row r="63" ht="22.5" customHeight="1">
      <c r="A63" s="15">
        <v>46051.56222936342</v>
      </c>
      <c r="B63" s="16" t="s">
        <v>104</v>
      </c>
      <c r="C63" s="16" t="s">
        <v>11</v>
      </c>
      <c r="D63" s="16" t="s">
        <v>22</v>
      </c>
      <c r="E63" s="16" t="s">
        <v>105</v>
      </c>
      <c r="F63" s="17" t="s">
        <v>178</v>
      </c>
      <c r="G63" s="16" t="s">
        <v>15</v>
      </c>
      <c r="H63" s="16" t="s">
        <v>179</v>
      </c>
      <c r="I63" s="16" t="s">
        <v>26</v>
      </c>
      <c r="J63" s="18">
        <f>IFERROR(__xludf.DUMMYFUNCTION("IF(ISDATE(A63), DATE(YEAR(A63), MONTH(A63), DAY(A63)+ IFS(ISNUMBER(SEARCH(""Red"", E63)), 1, ISNUMBER(SEARCH(""Orange"", E63)), 3, ISNUMBER(SEARCH(""Yellow"", E63)), 10, ISNUMBER(SEARCH(""Ivory"", E63)), 21,TRUE, ""60"")), """")"),46061.0)</f>
        <v>46061</v>
      </c>
      <c r="K63" s="21"/>
    </row>
    <row r="64" ht="22.5" customHeight="1">
      <c r="A64" s="15">
        <v>46055.43773048611</v>
      </c>
      <c r="B64" s="16" t="s">
        <v>104</v>
      </c>
      <c r="C64" s="16" t="s">
        <v>11</v>
      </c>
      <c r="D64" s="16" t="s">
        <v>35</v>
      </c>
      <c r="E64" s="16" t="s">
        <v>180</v>
      </c>
      <c r="F64" s="17" t="s">
        <v>181</v>
      </c>
      <c r="G64" s="16" t="s">
        <v>15</v>
      </c>
      <c r="H64" s="16" t="s">
        <v>182</v>
      </c>
      <c r="I64" s="16" t="s">
        <v>26</v>
      </c>
      <c r="J64" s="18">
        <f>IFERROR(__xludf.DUMMYFUNCTION("IF(ISDATE(A64), DATE(YEAR(A64), MONTH(A64), DAY(A64)+ IFS(ISNUMBER(SEARCH(""Red"", E64)), 1, ISNUMBER(SEARCH(""Orange"", E64)), 3, ISNUMBER(SEARCH(""Yellow"", E64)), 10, ISNUMBER(SEARCH(""Ivory"", E64)), 21,TRUE, ""60"")), """")"),46076.0)</f>
        <v>46076</v>
      </c>
      <c r="K64" s="19">
        <v>46057.0</v>
      </c>
    </row>
    <row r="65" ht="22.5" customHeight="1">
      <c r="A65" s="15">
        <v>46056.686435752315</v>
      </c>
      <c r="B65" s="16" t="s">
        <v>119</v>
      </c>
      <c r="C65" s="16" t="s">
        <v>39</v>
      </c>
      <c r="D65" s="16" t="s">
        <v>126</v>
      </c>
      <c r="E65" s="16" t="s">
        <v>180</v>
      </c>
      <c r="F65" s="23" t="s">
        <v>183</v>
      </c>
      <c r="G65" s="16" t="s">
        <v>15</v>
      </c>
      <c r="H65" s="16" t="s">
        <v>184</v>
      </c>
      <c r="I65" s="21"/>
      <c r="J65" s="18">
        <f>IFERROR(__xludf.DUMMYFUNCTION("IF(ISDATE(A65), DATE(YEAR(A65), MONTH(A65), DAY(A65)+ IFS(ISNUMBER(SEARCH(""Red"", E65)), 1, ISNUMBER(SEARCH(""Orange"", E65)), 3, ISNUMBER(SEARCH(""Yellow"", E65)), 10, ISNUMBER(SEARCH(""Ivory"", E65)), 21,TRUE, ""60"")), """")"),46077.0)</f>
        <v>46077</v>
      </c>
      <c r="K65" s="21"/>
    </row>
    <row r="66" ht="22.5" customHeight="1">
      <c r="A66" s="15">
        <v>46056.6885109375</v>
      </c>
      <c r="B66" s="16" t="s">
        <v>119</v>
      </c>
      <c r="C66" s="16" t="s">
        <v>39</v>
      </c>
      <c r="D66" s="16" t="s">
        <v>40</v>
      </c>
      <c r="E66" s="16" t="s">
        <v>112</v>
      </c>
      <c r="F66" s="17" t="s">
        <v>185</v>
      </c>
      <c r="G66" s="16" t="s">
        <v>37</v>
      </c>
      <c r="H66" s="16" t="s">
        <v>186</v>
      </c>
      <c r="I66" s="16" t="s">
        <v>26</v>
      </c>
      <c r="J66" s="18">
        <f>IFERROR(__xludf.DUMMYFUNCTION("IF(ISDATE(A66), DATE(YEAR(A66), MONTH(A66), DAY(A66)+ IFS(ISNUMBER(SEARCH(""Red"", E66)), 1, ISNUMBER(SEARCH(""Orange"", E66)), 3, ISNUMBER(SEARCH(""Yellow"", E66)), 10, ISNUMBER(SEARCH(""Ivory"", E66)), 21,TRUE, ""60"")), """")"),46059.0)</f>
        <v>46059</v>
      </c>
      <c r="K66" s="21"/>
    </row>
    <row r="67" ht="22.5" customHeight="1">
      <c r="A67" s="15">
        <v>46065.91717111111</v>
      </c>
      <c r="B67" s="16" t="s">
        <v>143</v>
      </c>
      <c r="C67" s="16" t="s">
        <v>187</v>
      </c>
      <c r="D67" s="16" t="s">
        <v>126</v>
      </c>
      <c r="E67" s="16" t="s">
        <v>112</v>
      </c>
      <c r="F67" s="17" t="s">
        <v>188</v>
      </c>
      <c r="G67" s="16" t="s">
        <v>122</v>
      </c>
      <c r="H67" s="16" t="s">
        <v>189</v>
      </c>
      <c r="I67" s="21"/>
      <c r="J67" s="18">
        <f>IFERROR(__xludf.DUMMYFUNCTION("IF(ISDATE(A67), DATE(YEAR(A67), MONTH(A67), DAY(A67)+ IFS(ISNUMBER(SEARCH(""Red"", E67)), 1, ISNUMBER(SEARCH(""Orange"", E67)), 3, ISNUMBER(SEARCH(""Yellow"", E67)), 10, ISNUMBER(SEARCH(""Ivory"", E67)), 21,TRUE, ""60"")), """")"),46068.0)</f>
        <v>46068</v>
      </c>
      <c r="K67" s="21"/>
    </row>
    <row r="68" ht="22.5" customHeight="1">
      <c r="A68" s="15">
        <v>46076.43241864583</v>
      </c>
      <c r="B68" s="16" t="s">
        <v>104</v>
      </c>
      <c r="C68" s="16" t="s">
        <v>11</v>
      </c>
      <c r="D68" s="16" t="s">
        <v>116</v>
      </c>
      <c r="E68" s="16" t="s">
        <v>112</v>
      </c>
      <c r="F68" s="17" t="s">
        <v>190</v>
      </c>
      <c r="G68" s="16" t="s">
        <v>15</v>
      </c>
      <c r="H68" s="16" t="s">
        <v>191</v>
      </c>
      <c r="I68" s="16" t="s">
        <v>26</v>
      </c>
      <c r="J68" s="18">
        <f>IFERROR(__xludf.DUMMYFUNCTION("IF(ISDATE(A68), DATE(YEAR(A68), MONTH(A68), DAY(A68)+ IFS(ISNUMBER(SEARCH(""Red"", E68)), 1, ISNUMBER(SEARCH(""Orange"", E68)), 3, ISNUMBER(SEARCH(""Yellow"", E68)), 10, ISNUMBER(SEARCH(""Ivory"", E68)), 21,TRUE, ""60"")), """")"),46079.0)</f>
        <v>46079</v>
      </c>
      <c r="K68" s="21"/>
    </row>
    <row r="69" ht="22.5" customHeight="1">
      <c r="A69" s="15">
        <v>46076.68898825231</v>
      </c>
      <c r="B69" s="16" t="s">
        <v>104</v>
      </c>
      <c r="C69" s="16" t="s">
        <v>11</v>
      </c>
      <c r="D69" s="16" t="s">
        <v>101</v>
      </c>
      <c r="E69" s="16" t="s">
        <v>112</v>
      </c>
      <c r="F69" s="17" t="s">
        <v>192</v>
      </c>
      <c r="G69" s="16" t="s">
        <v>122</v>
      </c>
      <c r="H69" s="16" t="s">
        <v>193</v>
      </c>
      <c r="I69" s="16" t="s">
        <v>26</v>
      </c>
      <c r="J69" s="18">
        <f>IFERROR(__xludf.DUMMYFUNCTION("IF(ISDATE(A69), DATE(YEAR(A69), MONTH(A69), DAY(A69)+ IFS(ISNUMBER(SEARCH(""Red"", E69)), 1, ISNUMBER(SEARCH(""Orange"", E69)), 3, ISNUMBER(SEARCH(""Yellow"", E69)), 10, ISNUMBER(SEARCH(""Ivory"", E69)), 21,TRUE, ""60"")), """")"),46079.0)</f>
        <v>46079</v>
      </c>
      <c r="K69" s="21"/>
    </row>
    <row r="70" ht="22.5" customHeight="1">
      <c r="A70" s="15">
        <v>46077.39692555556</v>
      </c>
      <c r="B70" s="16" t="s">
        <v>104</v>
      </c>
      <c r="C70" s="16" t="s">
        <v>11</v>
      </c>
      <c r="D70" s="16" t="s">
        <v>65</v>
      </c>
      <c r="E70" s="16" t="s">
        <v>135</v>
      </c>
      <c r="F70" s="17" t="s">
        <v>194</v>
      </c>
      <c r="G70" s="16" t="s">
        <v>122</v>
      </c>
      <c r="H70" s="16" t="s">
        <v>195</v>
      </c>
      <c r="I70" s="16" t="s">
        <v>26</v>
      </c>
      <c r="J70" s="18">
        <f>IFERROR(__xludf.DUMMYFUNCTION("IF(ISDATE(A70), DATE(YEAR(A70), MONTH(A70), DAY(A70)+ IFS(ISNUMBER(SEARCH(""Red"", E70)), 1, ISNUMBER(SEARCH(""Orange"", E70)), 3, ISNUMBER(SEARCH(""Yellow"", E70)), 10, ISNUMBER(SEARCH(""Ivory"", E70)), 21,TRUE, ""60"")), """")"),46078.0)</f>
        <v>46078</v>
      </c>
      <c r="K70" s="21"/>
    </row>
    <row r="71" ht="22.5" customHeight="1">
      <c r="A71" s="15">
        <v>46077.397944780096</v>
      </c>
      <c r="B71" s="16" t="s">
        <v>104</v>
      </c>
      <c r="C71" s="16" t="s">
        <v>11</v>
      </c>
      <c r="D71" s="16" t="s">
        <v>22</v>
      </c>
      <c r="E71" s="16" t="s">
        <v>135</v>
      </c>
      <c r="F71" s="17" t="s">
        <v>196</v>
      </c>
      <c r="G71" s="16" t="s">
        <v>122</v>
      </c>
      <c r="H71" s="16" t="s">
        <v>197</v>
      </c>
      <c r="I71" s="16" t="s">
        <v>26</v>
      </c>
      <c r="J71" s="18">
        <f>IFERROR(__xludf.DUMMYFUNCTION("IF(ISDATE(A71), DATE(YEAR(A71), MONTH(A71), DAY(A71)+ IFS(ISNUMBER(SEARCH(""Red"", E71)), 1, ISNUMBER(SEARCH(""Orange"", E71)), 3, ISNUMBER(SEARCH(""Yellow"", E71)), 10, ISNUMBER(SEARCH(""Ivory"", E71)), 21,TRUE, ""60"")), """")"),46078.0)</f>
        <v>46078</v>
      </c>
      <c r="K71" s="21"/>
    </row>
    <row r="72" ht="22.5" customHeight="1">
      <c r="A72" s="15">
        <v>46077.399404606476</v>
      </c>
      <c r="B72" s="16" t="s">
        <v>104</v>
      </c>
      <c r="C72" s="16" t="s">
        <v>11</v>
      </c>
      <c r="D72" s="16" t="s">
        <v>22</v>
      </c>
      <c r="E72" s="16" t="s">
        <v>135</v>
      </c>
      <c r="F72" s="17" t="s">
        <v>198</v>
      </c>
      <c r="G72" s="16" t="s">
        <v>122</v>
      </c>
      <c r="H72" s="16" t="s">
        <v>199</v>
      </c>
      <c r="I72" s="16" t="s">
        <v>26</v>
      </c>
      <c r="J72" s="18">
        <f>IFERROR(__xludf.DUMMYFUNCTION("IF(ISDATE(A72), DATE(YEAR(A72), MONTH(A72), DAY(A72)+ IFS(ISNUMBER(SEARCH(""Red"", E72)), 1, ISNUMBER(SEARCH(""Orange"", E72)), 3, ISNUMBER(SEARCH(""Yellow"", E72)), 10, ISNUMBER(SEARCH(""Ivory"", E72)), 21,TRUE, ""60"")), """")"),46078.0)</f>
        <v>46078</v>
      </c>
      <c r="K72" s="21"/>
    </row>
    <row r="73" ht="22.5" customHeight="1">
      <c r="A73" s="15">
        <v>46077.400157951386</v>
      </c>
      <c r="B73" s="16" t="s">
        <v>104</v>
      </c>
      <c r="C73" s="16" t="s">
        <v>11</v>
      </c>
      <c r="D73" s="16" t="s">
        <v>65</v>
      </c>
      <c r="E73" s="16" t="s">
        <v>135</v>
      </c>
      <c r="F73" s="17" t="s">
        <v>200</v>
      </c>
      <c r="G73" s="16" t="s">
        <v>122</v>
      </c>
      <c r="H73" s="16" t="s">
        <v>201</v>
      </c>
      <c r="I73" s="16" t="s">
        <v>26</v>
      </c>
      <c r="J73" s="18">
        <f>IFERROR(__xludf.DUMMYFUNCTION("IF(ISDATE(A73), DATE(YEAR(A73), MONTH(A73), DAY(A73)+ IFS(ISNUMBER(SEARCH(""Red"", E73)), 1, ISNUMBER(SEARCH(""Orange"", E73)), 3, ISNUMBER(SEARCH(""Yellow"", E73)), 10, ISNUMBER(SEARCH(""Ivory"", E73)), 21,TRUE, ""60"")), """")"),46078.0)</f>
        <v>46078</v>
      </c>
      <c r="K73" s="21"/>
    </row>
    <row r="74" ht="22.5" customHeight="1">
      <c r="A74" s="15">
        <v>46077.40175587963</v>
      </c>
      <c r="B74" s="16" t="s">
        <v>104</v>
      </c>
      <c r="C74" s="16" t="s">
        <v>11</v>
      </c>
      <c r="D74" s="16" t="s">
        <v>101</v>
      </c>
      <c r="E74" s="16" t="s">
        <v>135</v>
      </c>
      <c r="F74" s="17" t="s">
        <v>202</v>
      </c>
      <c r="G74" s="16" t="s">
        <v>122</v>
      </c>
      <c r="H74" s="16" t="s">
        <v>203</v>
      </c>
      <c r="I74" s="16" t="s">
        <v>26</v>
      </c>
      <c r="J74" s="18">
        <f>IFERROR(__xludf.DUMMYFUNCTION("IF(ISDATE(A74), DATE(YEAR(A74), MONTH(A74), DAY(A74)+ IFS(ISNUMBER(SEARCH(""Red"", E74)), 1, ISNUMBER(SEARCH(""Orange"", E74)), 3, ISNUMBER(SEARCH(""Yellow"", E74)), 10, ISNUMBER(SEARCH(""Ivory"", E74)), 21,TRUE, ""60"")), """")"),46078.0)</f>
        <v>46078</v>
      </c>
      <c r="K74" s="21"/>
    </row>
    <row r="75" ht="22.5" customHeight="1">
      <c r="A75" s="15">
        <v>46077.403444930555</v>
      </c>
      <c r="B75" s="16" t="s">
        <v>104</v>
      </c>
      <c r="C75" s="16" t="s">
        <v>11</v>
      </c>
      <c r="D75" s="16" t="s">
        <v>22</v>
      </c>
      <c r="E75" s="16" t="s">
        <v>135</v>
      </c>
      <c r="F75" s="17" t="s">
        <v>204</v>
      </c>
      <c r="G75" s="16" t="s">
        <v>122</v>
      </c>
      <c r="H75" s="16" t="s">
        <v>205</v>
      </c>
      <c r="I75" s="16" t="s">
        <v>26</v>
      </c>
      <c r="J75" s="18">
        <f>IFERROR(__xludf.DUMMYFUNCTION("IF(ISDATE(A75), DATE(YEAR(A75), MONTH(A75), DAY(A75)+ IFS(ISNUMBER(SEARCH(""Red"", E75)), 1, ISNUMBER(SEARCH(""Orange"", E75)), 3, ISNUMBER(SEARCH(""Yellow"", E75)), 10, ISNUMBER(SEARCH(""Ivory"", E75)), 21,TRUE, ""60"")), """")"),46078.0)</f>
        <v>46078</v>
      </c>
      <c r="K75" s="21"/>
    </row>
    <row r="76" ht="22.5" customHeight="1">
      <c r="A76" s="15">
        <v>46077.40447652778</v>
      </c>
      <c r="B76" s="16" t="s">
        <v>104</v>
      </c>
      <c r="C76" s="16" t="s">
        <v>11</v>
      </c>
      <c r="D76" s="16" t="s">
        <v>22</v>
      </c>
      <c r="E76" s="16" t="s">
        <v>135</v>
      </c>
      <c r="F76" s="17" t="s">
        <v>206</v>
      </c>
      <c r="G76" s="16" t="s">
        <v>122</v>
      </c>
      <c r="H76" s="16" t="s">
        <v>207</v>
      </c>
      <c r="I76" s="16" t="s">
        <v>26</v>
      </c>
      <c r="J76" s="18">
        <f>IFERROR(__xludf.DUMMYFUNCTION("IF(ISDATE(A76), DATE(YEAR(A76), MONTH(A76), DAY(A76)+ IFS(ISNUMBER(SEARCH(""Red"", E76)), 1, ISNUMBER(SEARCH(""Orange"", E76)), 3, ISNUMBER(SEARCH(""Yellow"", E76)), 10, ISNUMBER(SEARCH(""Ivory"", E76)), 21,TRUE, ""60"")), """")"),46078.0)</f>
        <v>46078</v>
      </c>
      <c r="K76" s="21"/>
    </row>
    <row r="77" ht="22.5" customHeight="1">
      <c r="A77" s="15">
        <v>46077.46531020833</v>
      </c>
      <c r="B77" s="16" t="s">
        <v>104</v>
      </c>
      <c r="C77" s="16" t="s">
        <v>11</v>
      </c>
      <c r="D77" s="16" t="s">
        <v>208</v>
      </c>
      <c r="E77" s="16" t="s">
        <v>135</v>
      </c>
      <c r="F77" s="17" t="s">
        <v>209</v>
      </c>
      <c r="G77" s="16" t="s">
        <v>122</v>
      </c>
      <c r="H77" s="16" t="s">
        <v>210</v>
      </c>
      <c r="I77" s="16" t="s">
        <v>26</v>
      </c>
      <c r="J77" s="18">
        <f>IFERROR(__xludf.DUMMYFUNCTION("IF(ISDATE(A77), DATE(YEAR(A77), MONTH(A77), DAY(A77)+ IFS(ISNUMBER(SEARCH(""Red"", E77)), 1, ISNUMBER(SEARCH(""Orange"", E77)), 3, ISNUMBER(SEARCH(""Yellow"", E77)), 10, ISNUMBER(SEARCH(""Ivory"", E77)), 21,TRUE, ""60"")), """")"),46078.0)</f>
        <v>46078</v>
      </c>
      <c r="K77" s="21"/>
    </row>
    <row r="78" ht="22.5" customHeight="1">
      <c r="A78" s="15">
        <v>46077.49895620371</v>
      </c>
      <c r="B78" s="16" t="s">
        <v>104</v>
      </c>
      <c r="C78" s="16" t="s">
        <v>11</v>
      </c>
      <c r="D78" s="16" t="s">
        <v>126</v>
      </c>
      <c r="E78" s="16" t="s">
        <v>105</v>
      </c>
      <c r="F78" s="17" t="s">
        <v>211</v>
      </c>
      <c r="G78" s="16" t="s">
        <v>37</v>
      </c>
      <c r="H78" s="16" t="s">
        <v>212</v>
      </c>
      <c r="I78" s="21"/>
      <c r="J78" s="18">
        <f>IFERROR(__xludf.DUMMYFUNCTION("IF(ISDATE(A78), DATE(YEAR(A78), MONTH(A78), DAY(A78)+ IFS(ISNUMBER(SEARCH(""Red"", E78)), 1, ISNUMBER(SEARCH(""Orange"", E78)), 3, ISNUMBER(SEARCH(""Yellow"", E78)), 10, ISNUMBER(SEARCH(""Ivory"", E78)), 21,TRUE, ""60"")), """")"),46087.0)</f>
        <v>46087</v>
      </c>
      <c r="K78" s="21"/>
    </row>
    <row r="79" ht="22.5" customHeight="1">
      <c r="A79" s="15">
        <v>46077.74015262732</v>
      </c>
      <c r="B79" s="16" t="s">
        <v>119</v>
      </c>
      <c r="C79" s="16" t="s">
        <v>39</v>
      </c>
      <c r="D79" s="16" t="s">
        <v>22</v>
      </c>
      <c r="E79" s="16" t="s">
        <v>129</v>
      </c>
      <c r="F79" s="21"/>
      <c r="G79" s="16" t="s">
        <v>15</v>
      </c>
      <c r="H79" s="16" t="s">
        <v>213</v>
      </c>
      <c r="I79" s="16" t="s">
        <v>26</v>
      </c>
      <c r="J79" s="18">
        <f>IFERROR(__xludf.DUMMYFUNCTION("IF(ISDATE(A79), DATE(YEAR(A79), MONTH(A79), DAY(A79)+ IFS(ISNUMBER(SEARCH(""Red"", E79)), 1, ISNUMBER(SEARCH(""Orange"", E79)), 3, ISNUMBER(SEARCH(""Yellow"", E79)), 10, ISNUMBER(SEARCH(""Ivory"", E79)), 21,TRUE, ""60"")), """")"),46137.0)</f>
        <v>46137</v>
      </c>
      <c r="K79" s="21"/>
    </row>
    <row r="80" ht="22.5" customHeight="1">
      <c r="A80" s="15">
        <v>46079.387702974534</v>
      </c>
      <c r="B80" s="16" t="s">
        <v>104</v>
      </c>
      <c r="C80" s="16" t="s">
        <v>11</v>
      </c>
      <c r="D80" s="16" t="s">
        <v>214</v>
      </c>
      <c r="E80" s="16" t="s">
        <v>135</v>
      </c>
      <c r="F80" s="21"/>
      <c r="G80" s="16" t="s">
        <v>122</v>
      </c>
      <c r="H80" s="16" t="s">
        <v>215</v>
      </c>
      <c r="I80" s="16" t="s">
        <v>26</v>
      </c>
      <c r="J80" s="18">
        <f>IFERROR(__xludf.DUMMYFUNCTION("IF(ISDATE(A80), DATE(YEAR(A80), MONTH(A80), DAY(A80)+ IFS(ISNUMBER(SEARCH(""Red"", E80)), 1, ISNUMBER(SEARCH(""Orange"", E80)), 3, ISNUMBER(SEARCH(""Yellow"", E80)), 10, ISNUMBER(SEARCH(""Ivory"", E80)), 21,TRUE, ""60"")), """")"),46080.0)</f>
        <v>46080</v>
      </c>
      <c r="K80" s="21"/>
    </row>
    <row r="81" ht="22.5" customHeight="1">
      <c r="A81" s="15">
        <v>46079.72208936342</v>
      </c>
      <c r="B81" s="16" t="s">
        <v>104</v>
      </c>
      <c r="C81" s="16" t="s">
        <v>11</v>
      </c>
      <c r="D81" s="16" t="s">
        <v>116</v>
      </c>
      <c r="E81" s="16" t="s">
        <v>129</v>
      </c>
      <c r="F81" s="17" t="s">
        <v>216</v>
      </c>
      <c r="G81" s="16" t="s">
        <v>110</v>
      </c>
      <c r="H81" s="16" t="s">
        <v>217</v>
      </c>
      <c r="I81" s="16" t="s">
        <v>26</v>
      </c>
      <c r="J81" s="18">
        <f>IFERROR(__xludf.DUMMYFUNCTION("IF(ISDATE(A81), DATE(YEAR(A81), MONTH(A81), DAY(A81)+ IFS(ISNUMBER(SEARCH(""Red"", E81)), 1, ISNUMBER(SEARCH(""Orange"", E81)), 3, ISNUMBER(SEARCH(""Yellow"", E81)), 10, ISNUMBER(SEARCH(""Ivory"", E81)), 21,TRUE, ""60"")), """")"),46139.0)</f>
        <v>46139</v>
      </c>
      <c r="K81" s="21"/>
    </row>
    <row r="82" ht="22.5" customHeight="1">
      <c r="A82" s="15">
        <v>46080.43600135417</v>
      </c>
      <c r="B82" s="16" t="s">
        <v>104</v>
      </c>
      <c r="C82" s="16" t="s">
        <v>11</v>
      </c>
      <c r="D82" s="16" t="s">
        <v>214</v>
      </c>
      <c r="E82" s="16" t="s">
        <v>112</v>
      </c>
      <c r="F82" s="17" t="s">
        <v>218</v>
      </c>
      <c r="G82" s="16" t="s">
        <v>110</v>
      </c>
      <c r="H82" s="16" t="s">
        <v>219</v>
      </c>
      <c r="I82" s="16" t="s">
        <v>26</v>
      </c>
      <c r="J82" s="18">
        <f>IFERROR(__xludf.DUMMYFUNCTION("IF(ISDATE(A82), DATE(YEAR(A82), MONTH(A82), DAY(A82)+ IFS(ISNUMBER(SEARCH(""Red"", E82)), 1, ISNUMBER(SEARCH(""Orange"", E82)), 3, ISNUMBER(SEARCH(""Yellow"", E82)), 10, ISNUMBER(SEARCH(""Ivory"", E82)), 21,TRUE, ""60"")), """")"),46083.0)</f>
        <v>46083</v>
      </c>
      <c r="K82" s="21"/>
    </row>
    <row r="83" ht="22.5" customHeight="1">
      <c r="A83" s="15">
        <v>46092.48997900463</v>
      </c>
      <c r="B83" s="16" t="s">
        <v>104</v>
      </c>
      <c r="C83" s="16" t="s">
        <v>11</v>
      </c>
      <c r="D83" s="16" t="s">
        <v>65</v>
      </c>
      <c r="E83" s="16" t="s">
        <v>105</v>
      </c>
      <c r="F83" s="17" t="s">
        <v>220</v>
      </c>
      <c r="G83" s="16" t="s">
        <v>37</v>
      </c>
      <c r="H83" s="16" t="s">
        <v>221</v>
      </c>
      <c r="I83" s="16" t="s">
        <v>26</v>
      </c>
      <c r="J83" s="18">
        <f>IFERROR(__xludf.DUMMYFUNCTION("IF(ISDATE(A83), DATE(YEAR(A83), MONTH(A83), DAY(A83)+ IFS(ISNUMBER(SEARCH(""Red"", E83)), 1, ISNUMBER(SEARCH(""Orange"", E83)), 3, ISNUMBER(SEARCH(""Yellow"", E83)), 10, ISNUMBER(SEARCH(""Ivory"", E83)), 21,TRUE, ""60"")), """")"),46102.0)</f>
        <v>46102</v>
      </c>
      <c r="K83" s="21"/>
    </row>
    <row r="84" ht="22.5" customHeight="1">
      <c r="A84" s="15">
        <v>46092.49120616898</v>
      </c>
      <c r="B84" s="16" t="s">
        <v>104</v>
      </c>
      <c r="C84" s="16" t="s">
        <v>11</v>
      </c>
      <c r="D84" s="16" t="s">
        <v>222</v>
      </c>
      <c r="E84" s="16" t="s">
        <v>105</v>
      </c>
      <c r="F84" s="17" t="s">
        <v>223</v>
      </c>
      <c r="G84" s="16" t="s">
        <v>110</v>
      </c>
      <c r="H84" s="16" t="s">
        <v>224</v>
      </c>
      <c r="I84" s="16" t="s">
        <v>26</v>
      </c>
      <c r="J84" s="18">
        <f>IFERROR(__xludf.DUMMYFUNCTION("IF(ISDATE(A84), DATE(YEAR(A84), MONTH(A84), DAY(A84)+ IFS(ISNUMBER(SEARCH(""Red"", E84)), 1, ISNUMBER(SEARCH(""Orange"", E84)), 3, ISNUMBER(SEARCH(""Yellow"", E84)), 10, ISNUMBER(SEARCH(""Ivory"", E84)), 21,TRUE, ""60"")), """")"),46102.0)</f>
        <v>46102</v>
      </c>
      <c r="K84" s="21"/>
    </row>
    <row r="85" ht="22.5" customHeight="1">
      <c r="A85" s="15">
        <v>46092.492068402775</v>
      </c>
      <c r="B85" s="16" t="s">
        <v>104</v>
      </c>
      <c r="C85" s="16" t="s">
        <v>11</v>
      </c>
      <c r="D85" s="16" t="s">
        <v>222</v>
      </c>
      <c r="E85" s="16" t="s">
        <v>105</v>
      </c>
      <c r="F85" s="17" t="s">
        <v>225</v>
      </c>
      <c r="G85" s="16" t="s">
        <v>110</v>
      </c>
      <c r="H85" s="16" t="s">
        <v>226</v>
      </c>
      <c r="I85" s="16" t="s">
        <v>26</v>
      </c>
      <c r="J85" s="18">
        <f>IFERROR(__xludf.DUMMYFUNCTION("IF(ISDATE(A85), DATE(YEAR(A85), MONTH(A85), DAY(A85)+ IFS(ISNUMBER(SEARCH(""Red"", E85)), 1, ISNUMBER(SEARCH(""Orange"", E85)), 3, ISNUMBER(SEARCH(""Yellow"", E85)), 10, ISNUMBER(SEARCH(""Ivory"", E85)), 21,TRUE, ""60"")), """")"),46102.0)</f>
        <v>46102</v>
      </c>
      <c r="K85" s="21"/>
    </row>
    <row r="86" ht="22.5" customHeight="1">
      <c r="A86" s="15">
        <v>46092.49296820602</v>
      </c>
      <c r="B86" s="16" t="s">
        <v>104</v>
      </c>
      <c r="C86" s="16" t="s">
        <v>11</v>
      </c>
      <c r="D86" s="16" t="s">
        <v>43</v>
      </c>
      <c r="E86" s="16" t="s">
        <v>129</v>
      </c>
      <c r="F86" s="21"/>
      <c r="G86" s="16" t="s">
        <v>122</v>
      </c>
      <c r="H86" s="16" t="s">
        <v>227</v>
      </c>
      <c r="I86" s="21"/>
      <c r="J86" s="18">
        <f>IFERROR(__xludf.DUMMYFUNCTION("IF(ISDATE(A86), DATE(YEAR(A86), MONTH(A86), DAY(A86)+ IFS(ISNUMBER(SEARCH(""Red"", E86)), 1, ISNUMBER(SEARCH(""Orange"", E86)), 3, ISNUMBER(SEARCH(""Yellow"", E86)), 10, ISNUMBER(SEARCH(""Ivory"", E86)), 21,TRUE, ""60"")), """")"),46152.0)</f>
        <v>46152</v>
      </c>
      <c r="K86" s="20">
        <v>46154.0</v>
      </c>
    </row>
    <row r="87" ht="22.5" customHeight="1">
      <c r="A87" s="15">
        <v>46104.56398896991</v>
      </c>
      <c r="B87" s="16" t="s">
        <v>104</v>
      </c>
      <c r="C87" s="16" t="s">
        <v>11</v>
      </c>
      <c r="D87" s="16" t="s">
        <v>65</v>
      </c>
      <c r="E87" s="16" t="s">
        <v>135</v>
      </c>
      <c r="F87" s="17" t="s">
        <v>228</v>
      </c>
      <c r="G87" s="16" t="s">
        <v>15</v>
      </c>
      <c r="H87" s="16" t="s">
        <v>229</v>
      </c>
      <c r="I87" s="16" t="s">
        <v>26</v>
      </c>
      <c r="J87" s="18">
        <f>IFERROR(__xludf.DUMMYFUNCTION("IF(ISDATE(A87), DATE(YEAR(A87), MONTH(A87), DAY(A87)+ IFS(ISNUMBER(SEARCH(""Red"", E87)), 1, ISNUMBER(SEARCH(""Orange"", E87)), 3, ISNUMBER(SEARCH(""Yellow"", E87)), 10, ISNUMBER(SEARCH(""Ivory"", E87)), 21,TRUE, ""60"")), """")"),46105.0)</f>
        <v>46105</v>
      </c>
      <c r="K87" s="21"/>
    </row>
    <row r="88" ht="22.5" customHeight="1">
      <c r="A88" s="15">
        <v>46106.39335067129</v>
      </c>
      <c r="B88" s="16" t="s">
        <v>104</v>
      </c>
      <c r="C88" s="16" t="s">
        <v>11</v>
      </c>
      <c r="D88" s="16" t="s">
        <v>222</v>
      </c>
      <c r="E88" s="16" t="s">
        <v>135</v>
      </c>
      <c r="F88" s="17" t="s">
        <v>230</v>
      </c>
      <c r="G88" s="16" t="s">
        <v>37</v>
      </c>
      <c r="H88" s="16" t="s">
        <v>231</v>
      </c>
      <c r="I88" s="16" t="s">
        <v>26</v>
      </c>
      <c r="J88" s="18">
        <f>IFERROR(__xludf.DUMMYFUNCTION("IF(ISDATE(A88), DATE(YEAR(A88), MONTH(A88), DAY(A88)+ IFS(ISNUMBER(SEARCH(""Red"", E88)), 1, ISNUMBER(SEARCH(""Orange"", E88)), 3, ISNUMBER(SEARCH(""Yellow"", E88)), 10, ISNUMBER(SEARCH(""Ivory"", E88)), 21,TRUE, ""60"")), """")"),46107.0)</f>
        <v>46107</v>
      </c>
      <c r="K88" s="21"/>
    </row>
    <row r="89" ht="22.5" customHeight="1">
      <c r="A89" s="15">
        <v>46118.67214086806</v>
      </c>
      <c r="B89" s="16" t="s">
        <v>104</v>
      </c>
      <c r="C89" s="16" t="s">
        <v>11</v>
      </c>
      <c r="D89" s="16" t="s">
        <v>35</v>
      </c>
      <c r="E89" s="16" t="s">
        <v>105</v>
      </c>
      <c r="F89" s="17" t="s">
        <v>232</v>
      </c>
      <c r="G89" s="16" t="s">
        <v>37</v>
      </c>
      <c r="H89" s="16" t="s">
        <v>233</v>
      </c>
      <c r="I89" s="16" t="s">
        <v>26</v>
      </c>
      <c r="J89" s="18">
        <f>IFERROR(__xludf.DUMMYFUNCTION("IF(ISDATE(A89), DATE(YEAR(A89), MONTH(A89), DAY(A89)+ IFS(ISNUMBER(SEARCH(""Red"", E89)), 1, ISNUMBER(SEARCH(""Orange"", E89)), 3, ISNUMBER(SEARCH(""Yellow"", E89)), 10, ISNUMBER(SEARCH(""Ivory"", E89)), 21,TRUE, ""60"")), """")"),46128.0)</f>
        <v>46128</v>
      </c>
      <c r="K89" s="21"/>
    </row>
    <row r="90" ht="22.5" customHeight="1">
      <c r="A90" s="15">
        <v>46126.506321458335</v>
      </c>
      <c r="B90" s="16" t="s">
        <v>104</v>
      </c>
      <c r="C90" s="16" t="s">
        <v>11</v>
      </c>
      <c r="D90" s="16" t="s">
        <v>22</v>
      </c>
      <c r="E90" s="16" t="s">
        <v>135</v>
      </c>
      <c r="F90" s="17" t="s">
        <v>234</v>
      </c>
      <c r="G90" s="16" t="s">
        <v>122</v>
      </c>
      <c r="H90" s="16" t="s">
        <v>235</v>
      </c>
      <c r="I90" s="16" t="s">
        <v>26</v>
      </c>
      <c r="J90" s="18">
        <f>IFERROR(__xludf.DUMMYFUNCTION("IF(ISDATE(A90), DATE(YEAR(A90), MONTH(A90), DAY(A90)+ IFS(ISNUMBER(SEARCH(""Red"", E90)), 1, ISNUMBER(SEARCH(""Orange"", E90)), 3, ISNUMBER(SEARCH(""Yellow"", E90)), 10, ISNUMBER(SEARCH(""Ivory"", E90)), 21,TRUE, ""60"")), """")"),46127.0)</f>
        <v>46127</v>
      </c>
      <c r="K90" s="21"/>
    </row>
    <row r="91" ht="22.5" customHeight="1">
      <c r="A91" s="15">
        <v>46126.50723101852</v>
      </c>
      <c r="B91" s="16" t="s">
        <v>104</v>
      </c>
      <c r="C91" s="16" t="s">
        <v>11</v>
      </c>
      <c r="D91" s="16" t="s">
        <v>65</v>
      </c>
      <c r="E91" s="16" t="s">
        <v>135</v>
      </c>
      <c r="F91" s="17" t="s">
        <v>236</v>
      </c>
      <c r="G91" s="16" t="s">
        <v>122</v>
      </c>
      <c r="H91" s="16" t="s">
        <v>237</v>
      </c>
      <c r="I91" s="16" t="s">
        <v>26</v>
      </c>
      <c r="J91" s="18">
        <f>IFERROR(__xludf.DUMMYFUNCTION("IF(ISDATE(A91), DATE(YEAR(A91), MONTH(A91), DAY(A91)+ IFS(ISNUMBER(SEARCH(""Red"", E91)), 1, ISNUMBER(SEARCH(""Orange"", E91)), 3, ISNUMBER(SEARCH(""Yellow"", E91)), 10, ISNUMBER(SEARCH(""Ivory"", E91)), 21,TRUE, ""60"")), """")"),46127.0)</f>
        <v>46127</v>
      </c>
      <c r="K91" s="21"/>
    </row>
    <row r="92" ht="22.5" customHeight="1">
      <c r="A92" s="15">
        <v>46126.5080102662</v>
      </c>
      <c r="B92" s="16" t="s">
        <v>104</v>
      </c>
      <c r="C92" s="16" t="s">
        <v>11</v>
      </c>
      <c r="D92" s="16" t="s">
        <v>65</v>
      </c>
      <c r="E92" s="16" t="s">
        <v>135</v>
      </c>
      <c r="F92" s="17" t="s">
        <v>238</v>
      </c>
      <c r="G92" s="16" t="s">
        <v>122</v>
      </c>
      <c r="H92" s="16" t="s">
        <v>239</v>
      </c>
      <c r="I92" s="16" t="s">
        <v>26</v>
      </c>
      <c r="J92" s="18">
        <f>IFERROR(__xludf.DUMMYFUNCTION("IF(ISDATE(A92), DATE(YEAR(A92), MONTH(A92), DAY(A92)+ IFS(ISNUMBER(SEARCH(""Red"", E92)), 1, ISNUMBER(SEARCH(""Orange"", E92)), 3, ISNUMBER(SEARCH(""Yellow"", E92)), 10, ISNUMBER(SEARCH(""Ivory"", E92)), 21,TRUE, ""60"")), """")"),46127.0)</f>
        <v>46127</v>
      </c>
      <c r="K92" s="21"/>
    </row>
    <row r="93" ht="22.5" customHeight="1">
      <c r="A93" s="15">
        <v>46128.4871875463</v>
      </c>
      <c r="B93" s="16" t="s">
        <v>104</v>
      </c>
      <c r="C93" s="16" t="s">
        <v>11</v>
      </c>
      <c r="D93" s="16" t="s">
        <v>65</v>
      </c>
      <c r="E93" s="16" t="s">
        <v>135</v>
      </c>
      <c r="F93" s="17" t="s">
        <v>240</v>
      </c>
      <c r="G93" s="16" t="s">
        <v>122</v>
      </c>
      <c r="H93" s="16" t="s">
        <v>241</v>
      </c>
      <c r="I93" s="16" t="s">
        <v>26</v>
      </c>
      <c r="J93" s="18">
        <f>IFERROR(__xludf.DUMMYFUNCTION("IF(ISDATE(A93), DATE(YEAR(A93), MONTH(A93), DAY(A93)+ IFS(ISNUMBER(SEARCH(""Red"", E93)), 1, ISNUMBER(SEARCH(""Orange"", E93)), 3, ISNUMBER(SEARCH(""Yellow"", E93)), 10, ISNUMBER(SEARCH(""Ivory"", E93)), 21,TRUE, ""60"")), """")"),46129.0)</f>
        <v>46129</v>
      </c>
      <c r="K93" s="21"/>
    </row>
    <row r="94" ht="22.5" customHeight="1">
      <c r="A94" s="15">
        <v>46128.49921681713</v>
      </c>
      <c r="B94" s="16" t="s">
        <v>104</v>
      </c>
      <c r="C94" s="16" t="s">
        <v>11</v>
      </c>
      <c r="D94" s="16" t="s">
        <v>214</v>
      </c>
      <c r="E94" s="16" t="s">
        <v>135</v>
      </c>
      <c r="F94" s="17" t="s">
        <v>242</v>
      </c>
      <c r="G94" s="16" t="s">
        <v>122</v>
      </c>
      <c r="H94" s="16" t="s">
        <v>243</v>
      </c>
      <c r="I94" s="16" t="s">
        <v>26</v>
      </c>
      <c r="J94" s="18">
        <f>IFERROR(__xludf.DUMMYFUNCTION("IF(ISDATE(A94), DATE(YEAR(A94), MONTH(A94), DAY(A94)+ IFS(ISNUMBER(SEARCH(""Red"", E94)), 1, ISNUMBER(SEARCH(""Orange"", E94)), 3, ISNUMBER(SEARCH(""Yellow"", E94)), 10, ISNUMBER(SEARCH(""Ivory"", E94)), 21,TRUE, ""60"")), """")"),46129.0)</f>
        <v>46129</v>
      </c>
      <c r="K94" s="21"/>
    </row>
    <row r="95" ht="22.5" customHeight="1">
      <c r="A95" s="15">
        <v>46136.40521549768</v>
      </c>
      <c r="B95" s="16" t="s">
        <v>104</v>
      </c>
      <c r="C95" s="16" t="s">
        <v>11</v>
      </c>
      <c r="D95" s="16" t="s">
        <v>65</v>
      </c>
      <c r="E95" s="16" t="s">
        <v>105</v>
      </c>
      <c r="F95" s="17" t="s">
        <v>244</v>
      </c>
      <c r="G95" s="16" t="s">
        <v>131</v>
      </c>
      <c r="H95" s="16" t="s">
        <v>245</v>
      </c>
      <c r="I95" s="16" t="s">
        <v>26</v>
      </c>
      <c r="J95" s="18">
        <f>IFERROR(__xludf.DUMMYFUNCTION("IF(ISDATE(A95), DATE(YEAR(A95), MONTH(A95), DAY(A95)+ IFS(ISNUMBER(SEARCH(""Red"", E95)), 1, ISNUMBER(SEARCH(""Orange"", E95)), 3, ISNUMBER(SEARCH(""Yellow"", E95)), 10, ISNUMBER(SEARCH(""Ivory"", E95)), 21,TRUE, ""60"")), """")"),46146.0)</f>
        <v>46146</v>
      </c>
      <c r="K95" s="21"/>
    </row>
    <row r="96" ht="22.5" customHeight="1">
      <c r="A96" s="15">
        <v>46140.40498980324</v>
      </c>
      <c r="B96" s="16" t="s">
        <v>104</v>
      </c>
      <c r="C96" s="16" t="s">
        <v>11</v>
      </c>
      <c r="D96" s="16" t="s">
        <v>65</v>
      </c>
      <c r="E96" s="16" t="s">
        <v>105</v>
      </c>
      <c r="F96" s="17" t="s">
        <v>246</v>
      </c>
      <c r="G96" s="16" t="s">
        <v>15</v>
      </c>
      <c r="H96" s="16" t="s">
        <v>247</v>
      </c>
      <c r="I96" s="16" t="s">
        <v>26</v>
      </c>
      <c r="J96" s="18">
        <f>IFERROR(__xludf.DUMMYFUNCTION("IF(ISDATE(A96), DATE(YEAR(A96), MONTH(A96), DAY(A96)+ IFS(ISNUMBER(SEARCH(""Red"", E96)), 1, ISNUMBER(SEARCH(""Orange"", E96)), 3, ISNUMBER(SEARCH(""Yellow"", E96)), 10, ISNUMBER(SEARCH(""Ivory"", E96)), 21,TRUE, ""60"")), """")"),46150.0)</f>
        <v>46150</v>
      </c>
      <c r="K96" s="21"/>
    </row>
    <row r="97" ht="22.5" customHeight="1">
      <c r="A97" s="15">
        <v>46140.40622472222</v>
      </c>
      <c r="B97" s="16" t="s">
        <v>104</v>
      </c>
      <c r="C97" s="16" t="s">
        <v>11</v>
      </c>
      <c r="D97" s="16" t="s">
        <v>101</v>
      </c>
      <c r="E97" s="16" t="s">
        <v>112</v>
      </c>
      <c r="F97" s="17" t="s">
        <v>248</v>
      </c>
      <c r="G97" s="16" t="s">
        <v>131</v>
      </c>
      <c r="H97" s="16" t="s">
        <v>249</v>
      </c>
      <c r="I97" s="16" t="s">
        <v>26</v>
      </c>
      <c r="J97" s="18">
        <f>IFERROR(__xludf.DUMMYFUNCTION("IF(ISDATE(A97), DATE(YEAR(A97), MONTH(A97), DAY(A97)+ IFS(ISNUMBER(SEARCH(""Red"", E97)), 1, ISNUMBER(SEARCH(""Orange"", E97)), 3, ISNUMBER(SEARCH(""Yellow"", E97)), 10, ISNUMBER(SEARCH(""Ivory"", E97)), 21,TRUE, ""60"")), """")"),46143.0)</f>
        <v>46143</v>
      </c>
      <c r="K97" s="21"/>
    </row>
    <row r="98" ht="22.5" customHeight="1">
      <c r="A98" s="15">
        <v>46198.630418981484</v>
      </c>
      <c r="B98" s="16" t="s">
        <v>104</v>
      </c>
      <c r="C98" s="16" t="s">
        <v>11</v>
      </c>
      <c r="D98" s="16" t="s">
        <v>43</v>
      </c>
      <c r="E98" s="16" t="s">
        <v>129</v>
      </c>
      <c r="F98" s="17" t="s">
        <v>250</v>
      </c>
      <c r="G98" s="16" t="s">
        <v>15</v>
      </c>
      <c r="H98" s="16" t="s">
        <v>251</v>
      </c>
      <c r="I98" s="21"/>
      <c r="J98" s="18">
        <f>IFERROR(__xludf.DUMMYFUNCTION("IF(ISDATE(A98), DATE(YEAR(A98), MONTH(A98), DAY(A98)+ IFS(ISNUMBER(SEARCH(""Red"", E98)), 1, ISNUMBER(SEARCH(""Orange"", E98)), 3, ISNUMBER(SEARCH(""Yellow"", E98)), 10, ISNUMBER(SEARCH(""Ivory"", E98)), 21,TRUE, ""60"")), """")"),46258.0)</f>
        <v>46258</v>
      </c>
      <c r="K98" s="21"/>
    </row>
    <row r="99" ht="22.5" customHeight="1">
      <c r="A99" s="15">
        <v>46198.63154890046</v>
      </c>
      <c r="B99" s="16" t="s">
        <v>104</v>
      </c>
      <c r="C99" s="16" t="s">
        <v>252</v>
      </c>
      <c r="D99" s="16" t="s">
        <v>43</v>
      </c>
      <c r="E99" s="16" t="s">
        <v>129</v>
      </c>
      <c r="F99" s="17" t="s">
        <v>253</v>
      </c>
      <c r="G99" s="16" t="s">
        <v>15</v>
      </c>
      <c r="H99" s="16" t="s">
        <v>254</v>
      </c>
      <c r="I99" s="21"/>
      <c r="J99" s="18">
        <f>IFERROR(__xludf.DUMMYFUNCTION("IF(ISDATE(A99), DATE(YEAR(A99), MONTH(A99), DAY(A99)+ IFS(ISNUMBER(SEARCH(""Red"", E99)), 1, ISNUMBER(SEARCH(""Orange"", E99)), 3, ISNUMBER(SEARCH(""Yellow"", E99)), 10, ISNUMBER(SEARCH(""Ivory"", E99)), 21,TRUE, ""60"")), """")"),46258.0)</f>
        <v>46258</v>
      </c>
      <c r="K99" s="21"/>
    </row>
    <row r="100" ht="22.5" customHeight="1">
      <c r="A100" s="15">
        <v>46198.63244327546</v>
      </c>
      <c r="B100" s="16" t="s">
        <v>104</v>
      </c>
      <c r="C100" s="16" t="s">
        <v>11</v>
      </c>
      <c r="D100" s="16" t="s">
        <v>43</v>
      </c>
      <c r="E100" s="16" t="s">
        <v>129</v>
      </c>
      <c r="F100" s="17" t="s">
        <v>255</v>
      </c>
      <c r="G100" s="16" t="s">
        <v>15</v>
      </c>
      <c r="H100" s="16" t="s">
        <v>256</v>
      </c>
      <c r="I100" s="21"/>
      <c r="J100" s="18">
        <f>IFERROR(__xludf.DUMMYFUNCTION("IF(ISDATE(A100), DATE(YEAR(A100), MONTH(A100), DAY(A100)+ IFS(ISNUMBER(SEARCH(""Red"", E100)), 1, ISNUMBER(SEARCH(""Orange"", E100)), 3, ISNUMBER(SEARCH(""Yellow"", E100)), 10, ISNUMBER(SEARCH(""Ivory"", E100)), 21,TRUE, ""60"")), """")"),46258.0)</f>
        <v>46258</v>
      </c>
      <c r="K100" s="21"/>
    </row>
    <row r="101" ht="22.5" customHeight="1">
      <c r="A101" s="15">
        <v>46198.6337513426</v>
      </c>
      <c r="B101" s="16" t="s">
        <v>104</v>
      </c>
      <c r="C101" s="16" t="s">
        <v>11</v>
      </c>
      <c r="D101" s="16" t="s">
        <v>43</v>
      </c>
      <c r="E101" s="16" t="s">
        <v>129</v>
      </c>
      <c r="F101" s="17" t="s">
        <v>257</v>
      </c>
      <c r="G101" s="16" t="s">
        <v>15</v>
      </c>
      <c r="H101" s="16" t="s">
        <v>258</v>
      </c>
      <c r="I101" s="21"/>
      <c r="J101" s="18">
        <f>IFERROR(__xludf.DUMMYFUNCTION("IF(ISDATE(A101), DATE(YEAR(A101), MONTH(A101), DAY(A101)+ IFS(ISNUMBER(SEARCH(""Red"", E101)), 1, ISNUMBER(SEARCH(""Orange"", E101)), 3, ISNUMBER(SEARCH(""Yellow"", E101)), 10, ISNUMBER(SEARCH(""Ivory"", E101)), 21,TRUE, ""60"")), """")"),46258.0)</f>
        <v>46258</v>
      </c>
      <c r="K101" s="21"/>
    </row>
    <row r="102" ht="22.5" customHeight="1">
      <c r="A102" s="15">
        <v>46199.38345574074</v>
      </c>
      <c r="B102" s="16" t="s">
        <v>104</v>
      </c>
      <c r="C102" s="16" t="s">
        <v>11</v>
      </c>
      <c r="D102" s="16" t="s">
        <v>43</v>
      </c>
      <c r="E102" s="16" t="s">
        <v>129</v>
      </c>
      <c r="F102" s="17" t="s">
        <v>259</v>
      </c>
      <c r="G102" s="16" t="s">
        <v>15</v>
      </c>
      <c r="H102" s="16" t="s">
        <v>260</v>
      </c>
      <c r="I102" s="21"/>
      <c r="J102" s="18">
        <f>IFERROR(__xludf.DUMMYFUNCTION("IF(ISDATE(A102), DATE(YEAR(A102), MONTH(A102), DAY(A102)+ IFS(ISNUMBER(SEARCH(""Red"", E102)), 1, ISNUMBER(SEARCH(""Orange"", E102)), 3, ISNUMBER(SEARCH(""Yellow"", E102)), 10, ISNUMBER(SEARCH(""Ivory"", E102)), 21,TRUE, ""60"")), """")"),46259.0)</f>
        <v>46259</v>
      </c>
      <c r="K102" s="21"/>
    </row>
    <row r="103" ht="22.5" customHeight="1">
      <c r="A103" s="15">
        <v>46199.38533454861</v>
      </c>
      <c r="B103" s="16" t="s">
        <v>104</v>
      </c>
      <c r="C103" s="16" t="s">
        <v>47</v>
      </c>
      <c r="D103" s="16" t="s">
        <v>43</v>
      </c>
      <c r="E103" s="16" t="s">
        <v>129</v>
      </c>
      <c r="F103" s="17" t="s">
        <v>261</v>
      </c>
      <c r="G103" s="16" t="s">
        <v>15</v>
      </c>
      <c r="H103" s="16" t="s">
        <v>262</v>
      </c>
      <c r="I103" s="21"/>
      <c r="J103" s="18">
        <f>IFERROR(__xludf.DUMMYFUNCTION("IF(ISDATE(A103), DATE(YEAR(A103), MONTH(A103), DAY(A103)+ IFS(ISNUMBER(SEARCH(""Red"", E103)), 1, ISNUMBER(SEARCH(""Orange"", E103)), 3, ISNUMBER(SEARCH(""Yellow"", E103)), 10, ISNUMBER(SEARCH(""Ivory"", E103)), 21,TRUE, ""60"")), """")"),46259.0)</f>
        <v>46259</v>
      </c>
      <c r="K103" s="21"/>
    </row>
    <row r="104" ht="22.5" customHeight="1">
      <c r="A104" s="15">
        <v>46199.47830274305</v>
      </c>
      <c r="B104" s="16" t="s">
        <v>104</v>
      </c>
      <c r="C104" s="16" t="s">
        <v>11</v>
      </c>
      <c r="D104" s="16" t="s">
        <v>263</v>
      </c>
      <c r="E104" s="16" t="s">
        <v>129</v>
      </c>
      <c r="F104" s="17" t="s">
        <v>264</v>
      </c>
      <c r="G104" s="16" t="s">
        <v>15</v>
      </c>
      <c r="H104" s="16" t="s">
        <v>265</v>
      </c>
      <c r="I104" s="16" t="s">
        <v>26</v>
      </c>
      <c r="J104" s="18">
        <f>IFERROR(__xludf.DUMMYFUNCTION("IF(ISDATE(A104), DATE(YEAR(A104), MONTH(A104), DAY(A104)+ IFS(ISNUMBER(SEARCH(""Red"", E104)), 1, ISNUMBER(SEARCH(""Orange"", E104)), 3, ISNUMBER(SEARCH(""Yellow"", E104)), 10, ISNUMBER(SEARCH(""Ivory"", E104)), 21,TRUE, ""60"")), """")"),46259.0)</f>
        <v>46259</v>
      </c>
      <c r="K104" s="21"/>
    </row>
    <row r="105" ht="22.5" customHeight="1">
      <c r="A105" s="24"/>
      <c r="B105" s="25"/>
      <c r="C105" s="25"/>
      <c r="D105" s="25"/>
      <c r="E105" s="25"/>
      <c r="F105" s="25"/>
      <c r="G105" s="25"/>
      <c r="H105" s="25"/>
      <c r="I105" s="25"/>
      <c r="J105" s="26" t="str">
        <f>IFERROR(__xludf.DUMMYFUNCTION("IF(ISDATE(A105), DATE(YEAR(A105), MONTH(A105), DAY(A105)+ IFS(ISNUMBER(SEARCH(""Red"", E105)), 1, ISNUMBER(SEARCH(""Orange"", E105)), 3, ISNUMBER(SEARCH(""Yellow"", E105)), 10, ISNUMBER(SEARCH(""Ivory"", E105)), 21,TRUE, ""60"")), """")"),"")</f>
        <v/>
      </c>
      <c r="K105" s="27"/>
      <c r="L105" s="6"/>
      <c r="M105" s="6"/>
      <c r="N105" s="6"/>
      <c r="O105" s="6"/>
      <c r="P105" s="6"/>
    </row>
    <row r="106" ht="22.5" customHeight="1">
      <c r="A106" s="24"/>
      <c r="B106" s="25"/>
      <c r="C106" s="25"/>
      <c r="D106" s="25"/>
      <c r="E106" s="25"/>
      <c r="F106" s="25"/>
      <c r="G106" s="25"/>
      <c r="H106" s="25"/>
      <c r="I106" s="25"/>
      <c r="J106" s="26" t="str">
        <f>IFERROR(__xludf.DUMMYFUNCTION("IF(ISDATE(A106), DATE(YEAR(A106), MONTH(A106), DAY(A106)+ IFS(ISNUMBER(SEARCH(""Red"", E106)), 1, ISNUMBER(SEARCH(""Orange"", E106)), 3, ISNUMBER(SEARCH(""Yellow"", E106)), 10, ISNUMBER(SEARCH(""Ivory"", E106)), 21,TRUE, ""60"")), """")"),"")</f>
        <v/>
      </c>
      <c r="K106" s="27"/>
      <c r="L106" s="6"/>
      <c r="M106" s="6"/>
      <c r="N106" s="6"/>
      <c r="O106" s="6"/>
      <c r="P106" s="6"/>
    </row>
    <row r="107" ht="22.5" customHeight="1">
      <c r="A107" s="24"/>
      <c r="B107" s="25"/>
      <c r="C107" s="25"/>
      <c r="D107" s="25"/>
      <c r="E107" s="25"/>
      <c r="F107" s="25"/>
      <c r="G107" s="25"/>
      <c r="H107" s="25"/>
      <c r="I107" s="25"/>
      <c r="J107" s="26" t="str">
        <f>IFERROR(__xludf.DUMMYFUNCTION("IF(ISDATE(A107), DATE(YEAR(A107), MONTH(A107), DAY(A107)+ IFS(ISNUMBER(SEARCH(""Red"", E107)), 1, ISNUMBER(SEARCH(""Orange"", E107)), 3, ISNUMBER(SEARCH(""Yellow"", E107)), 10, ISNUMBER(SEARCH(""Ivory"", E107)), 21,TRUE, ""60"")), """")"),"")</f>
        <v/>
      </c>
      <c r="K107" s="27"/>
      <c r="L107" s="6"/>
      <c r="M107" s="6"/>
      <c r="N107" s="6"/>
      <c r="O107" s="6"/>
      <c r="P107" s="6"/>
    </row>
    <row r="108" ht="22.5" customHeight="1">
      <c r="A108" s="24"/>
      <c r="B108" s="25"/>
      <c r="C108" s="25"/>
      <c r="D108" s="25"/>
      <c r="E108" s="25"/>
      <c r="F108" s="25"/>
      <c r="G108" s="25"/>
      <c r="H108" s="25"/>
      <c r="I108" s="25"/>
      <c r="J108" s="26" t="str">
        <f>IFERROR(__xludf.DUMMYFUNCTION("IF(ISDATE(A108), DATE(YEAR(A108), MONTH(A108), DAY(A108)+ IFS(ISNUMBER(SEARCH(""Red"", E108)), 1, ISNUMBER(SEARCH(""Orange"", E108)), 3, ISNUMBER(SEARCH(""Yellow"", E108)), 10, ISNUMBER(SEARCH(""Ivory"", E108)), 21,TRUE, ""60"")), """")"),"")</f>
        <v/>
      </c>
      <c r="K108" s="27"/>
      <c r="L108" s="6"/>
      <c r="M108" s="6"/>
      <c r="N108" s="6"/>
      <c r="O108" s="6"/>
      <c r="P108" s="6"/>
    </row>
    <row r="109" ht="22.5" customHeight="1">
      <c r="A109" s="24"/>
      <c r="B109" s="25"/>
      <c r="C109" s="25"/>
      <c r="D109" s="25"/>
      <c r="E109" s="25"/>
      <c r="F109" s="25"/>
      <c r="G109" s="25"/>
      <c r="H109" s="25"/>
      <c r="I109" s="25"/>
      <c r="J109" s="26" t="str">
        <f>IFERROR(__xludf.DUMMYFUNCTION("IF(ISDATE(A109), DATE(YEAR(A109), MONTH(A109), DAY(A109)+ IFS(ISNUMBER(SEARCH(""Red"", E109)), 1, ISNUMBER(SEARCH(""Orange"", E109)), 3, ISNUMBER(SEARCH(""Yellow"", E109)), 10, ISNUMBER(SEARCH(""Ivory"", E109)), 21,TRUE, ""60"")), """")"),"")</f>
        <v/>
      </c>
      <c r="K109" s="27"/>
      <c r="L109" s="6"/>
      <c r="M109" s="6"/>
      <c r="N109" s="6"/>
      <c r="O109" s="6"/>
      <c r="P109" s="6"/>
    </row>
    <row r="110" ht="22.5" customHeight="1">
      <c r="A110" s="24"/>
      <c r="B110" s="25"/>
      <c r="C110" s="25"/>
      <c r="D110" s="25"/>
      <c r="E110" s="25"/>
      <c r="F110" s="25"/>
      <c r="G110" s="25"/>
      <c r="H110" s="25"/>
      <c r="I110" s="25"/>
      <c r="J110" s="26" t="str">
        <f>IFERROR(__xludf.DUMMYFUNCTION("IF(ISDATE(A110), DATE(YEAR(A110), MONTH(A110), DAY(A110)+ IFS(ISNUMBER(SEARCH(""Red"", E110)), 1, ISNUMBER(SEARCH(""Orange"", E110)), 3, ISNUMBER(SEARCH(""Yellow"", E110)), 10, ISNUMBER(SEARCH(""Ivory"", E110)), 21,TRUE, ""60"")), """")"),"")</f>
        <v/>
      </c>
      <c r="K110" s="27"/>
      <c r="L110" s="6"/>
      <c r="M110" s="6"/>
      <c r="N110" s="6"/>
      <c r="O110" s="6"/>
      <c r="P110" s="6"/>
    </row>
    <row r="111" ht="22.5" customHeight="1">
      <c r="A111" s="24"/>
      <c r="B111" s="25"/>
      <c r="C111" s="25"/>
      <c r="D111" s="25"/>
      <c r="E111" s="25"/>
      <c r="F111" s="25"/>
      <c r="G111" s="25"/>
      <c r="H111" s="25"/>
      <c r="I111" s="25"/>
      <c r="J111" s="26" t="str">
        <f>IFERROR(__xludf.DUMMYFUNCTION("IF(ISDATE(A111), DATE(YEAR(A111), MONTH(A111), DAY(A111)+ IFS(ISNUMBER(SEARCH(""Red"", E111)), 1, ISNUMBER(SEARCH(""Orange"", E111)), 3, ISNUMBER(SEARCH(""Yellow"", E111)), 10, ISNUMBER(SEARCH(""Ivory"", E111)), 21,TRUE, ""60"")), """")"),"")</f>
        <v/>
      </c>
      <c r="K111" s="27"/>
      <c r="L111" s="6"/>
      <c r="M111" s="6"/>
      <c r="N111" s="6"/>
      <c r="O111" s="6"/>
      <c r="P111" s="6"/>
    </row>
    <row r="112" ht="22.5" customHeight="1">
      <c r="A112" s="24"/>
      <c r="B112" s="25"/>
      <c r="C112" s="25"/>
      <c r="D112" s="25"/>
      <c r="E112" s="25"/>
      <c r="F112" s="25"/>
      <c r="G112" s="25"/>
      <c r="H112" s="25"/>
      <c r="I112" s="25"/>
      <c r="J112" s="26" t="str">
        <f>IFERROR(__xludf.DUMMYFUNCTION("IF(ISDATE(A112), DATE(YEAR(A112), MONTH(A112), DAY(A112)+ IFS(ISNUMBER(SEARCH(""Red"", E112)), 1, ISNUMBER(SEARCH(""Orange"", E112)), 3, ISNUMBER(SEARCH(""Yellow"", E112)), 10, ISNUMBER(SEARCH(""Ivory"", E112)), 21,TRUE, ""60"")), """")"),"")</f>
        <v/>
      </c>
      <c r="K112" s="27"/>
      <c r="L112" s="6"/>
      <c r="M112" s="6"/>
      <c r="N112" s="6"/>
      <c r="O112" s="6"/>
      <c r="P112" s="6"/>
    </row>
    <row r="113" ht="22.5" customHeight="1">
      <c r="A113" s="24"/>
      <c r="B113" s="25"/>
      <c r="C113" s="25"/>
      <c r="D113" s="25"/>
      <c r="E113" s="25"/>
      <c r="F113" s="25"/>
      <c r="G113" s="25"/>
      <c r="H113" s="25"/>
      <c r="I113" s="25"/>
      <c r="J113" s="26" t="str">
        <f>IFERROR(__xludf.DUMMYFUNCTION("IF(ISDATE(A113), DATE(YEAR(A113), MONTH(A113), DAY(A113)+ IFS(ISNUMBER(SEARCH(""Red"", E113)), 1, ISNUMBER(SEARCH(""Orange"", E113)), 3, ISNUMBER(SEARCH(""Yellow"", E113)), 10, ISNUMBER(SEARCH(""Ivory"", E113)), 21,TRUE, ""60"")), """")"),"")</f>
        <v/>
      </c>
      <c r="K113" s="27"/>
      <c r="L113" s="6"/>
      <c r="M113" s="6"/>
      <c r="N113" s="6"/>
      <c r="O113" s="6"/>
      <c r="P113" s="6"/>
    </row>
    <row r="114" ht="22.5" customHeight="1">
      <c r="A114" s="24"/>
      <c r="B114" s="25"/>
      <c r="C114" s="25"/>
      <c r="D114" s="25"/>
      <c r="E114" s="25"/>
      <c r="F114" s="25"/>
      <c r="G114" s="25"/>
      <c r="H114" s="25"/>
      <c r="I114" s="25"/>
      <c r="J114" s="26" t="str">
        <f>IFERROR(__xludf.DUMMYFUNCTION("IF(ISDATE(A114), DATE(YEAR(A114), MONTH(A114), DAY(A114)+ IFS(ISNUMBER(SEARCH(""Red"", E114)), 1, ISNUMBER(SEARCH(""Orange"", E114)), 3, ISNUMBER(SEARCH(""Yellow"", E114)), 10, ISNUMBER(SEARCH(""Ivory"", E114)), 21,TRUE, ""60"")), """")"),"")</f>
        <v/>
      </c>
      <c r="K114" s="27"/>
      <c r="L114" s="6"/>
      <c r="M114" s="6"/>
      <c r="N114" s="6"/>
      <c r="O114" s="6"/>
      <c r="P114" s="6"/>
    </row>
    <row r="115" ht="22.5" customHeight="1">
      <c r="A115" s="24"/>
      <c r="B115" s="25"/>
      <c r="C115" s="25"/>
      <c r="D115" s="25"/>
      <c r="E115" s="25"/>
      <c r="F115" s="25"/>
      <c r="G115" s="25"/>
      <c r="H115" s="25"/>
      <c r="I115" s="25"/>
      <c r="J115" s="26" t="str">
        <f>IFERROR(__xludf.DUMMYFUNCTION("IF(ISDATE(A115), DATE(YEAR(A115), MONTH(A115), DAY(A115)+ IFS(ISNUMBER(SEARCH(""Red"", E115)), 1, ISNUMBER(SEARCH(""Orange"", E115)), 3, ISNUMBER(SEARCH(""Yellow"", E115)), 10, ISNUMBER(SEARCH(""Ivory"", E115)), 21,TRUE, ""60"")), """")"),"")</f>
        <v/>
      </c>
      <c r="K115" s="27"/>
      <c r="L115" s="6"/>
      <c r="M115" s="6"/>
      <c r="N115" s="6"/>
      <c r="O115" s="6"/>
      <c r="P115" s="6"/>
    </row>
    <row r="116" ht="22.5" customHeight="1">
      <c r="A116" s="24"/>
      <c r="B116" s="25"/>
      <c r="C116" s="25"/>
      <c r="D116" s="25"/>
      <c r="E116" s="25"/>
      <c r="F116" s="25"/>
      <c r="G116" s="25"/>
      <c r="H116" s="25"/>
      <c r="I116" s="25"/>
      <c r="J116" s="26" t="str">
        <f>IFERROR(__xludf.DUMMYFUNCTION("IF(ISDATE(A116), DATE(YEAR(A116), MONTH(A116), DAY(A116)+ IFS(ISNUMBER(SEARCH(""Red"", E116)), 1, ISNUMBER(SEARCH(""Orange"", E116)), 3, ISNUMBER(SEARCH(""Yellow"", E116)), 10, ISNUMBER(SEARCH(""Ivory"", E116)), 21,TRUE, ""60"")), """")"),"")</f>
        <v/>
      </c>
      <c r="K116" s="27"/>
      <c r="L116" s="6"/>
      <c r="M116" s="6"/>
      <c r="N116" s="6"/>
      <c r="O116" s="6"/>
      <c r="P116" s="6"/>
    </row>
    <row r="117" ht="22.5" customHeight="1">
      <c r="A117" s="24"/>
      <c r="B117" s="25"/>
      <c r="C117" s="25"/>
      <c r="D117" s="25"/>
      <c r="E117" s="25"/>
      <c r="F117" s="25"/>
      <c r="G117" s="25"/>
      <c r="H117" s="25"/>
      <c r="I117" s="25"/>
      <c r="J117" s="26" t="str">
        <f>IFERROR(__xludf.DUMMYFUNCTION("IF(ISDATE(A117), DATE(YEAR(A117), MONTH(A117), DAY(A117)+ IFS(ISNUMBER(SEARCH(""Red"", E117)), 1, ISNUMBER(SEARCH(""Orange"", E117)), 3, ISNUMBER(SEARCH(""Yellow"", E117)), 10, ISNUMBER(SEARCH(""Ivory"", E117)), 21,TRUE, ""60"")), """")"),"")</f>
        <v/>
      </c>
      <c r="K117" s="27"/>
      <c r="L117" s="6"/>
      <c r="M117" s="6"/>
      <c r="N117" s="6"/>
      <c r="O117" s="6"/>
      <c r="P117" s="6"/>
    </row>
    <row r="118" ht="22.5" customHeight="1">
      <c r="A118" s="24"/>
      <c r="B118" s="25"/>
      <c r="C118" s="25"/>
      <c r="D118" s="25"/>
      <c r="E118" s="25"/>
      <c r="F118" s="25"/>
      <c r="G118" s="25"/>
      <c r="H118" s="25"/>
      <c r="I118" s="25"/>
      <c r="J118" s="26" t="str">
        <f>IFERROR(__xludf.DUMMYFUNCTION("IF(ISDATE(A118), DATE(YEAR(A118), MONTH(A118), DAY(A118)+ IFS(ISNUMBER(SEARCH(""Red"", E118)), 1, ISNUMBER(SEARCH(""Orange"", E118)), 3, ISNUMBER(SEARCH(""Yellow"", E118)), 10, ISNUMBER(SEARCH(""Ivory"", E118)), 21,TRUE, ""60"")), """")"),"")</f>
        <v/>
      </c>
      <c r="K118" s="27"/>
      <c r="L118" s="6"/>
      <c r="M118" s="6"/>
      <c r="N118" s="6"/>
      <c r="O118" s="6"/>
      <c r="P118" s="6"/>
    </row>
    <row r="119" ht="22.5" customHeight="1">
      <c r="A119" s="24"/>
      <c r="B119" s="25"/>
      <c r="C119" s="25"/>
      <c r="D119" s="25"/>
      <c r="E119" s="25"/>
      <c r="F119" s="25"/>
      <c r="G119" s="25"/>
      <c r="H119" s="25"/>
      <c r="I119" s="25"/>
      <c r="J119" s="26" t="str">
        <f>IFERROR(__xludf.DUMMYFUNCTION("IF(ISDATE(A119), DATE(YEAR(A119), MONTH(A119), DAY(A119)+ IFS(ISNUMBER(SEARCH(""Red"", E119)), 1, ISNUMBER(SEARCH(""Orange"", E119)), 3, ISNUMBER(SEARCH(""Yellow"", E119)), 10, ISNUMBER(SEARCH(""Ivory"", E119)), 21,TRUE, ""60"")), """")"),"")</f>
        <v/>
      </c>
      <c r="K119" s="27"/>
      <c r="L119" s="6"/>
      <c r="M119" s="6"/>
      <c r="N119" s="6"/>
      <c r="O119" s="6"/>
      <c r="P119" s="6"/>
    </row>
    <row r="120" ht="22.5" customHeight="1">
      <c r="A120" s="24"/>
      <c r="B120" s="25"/>
      <c r="C120" s="25"/>
      <c r="D120" s="25"/>
      <c r="E120" s="25"/>
      <c r="F120" s="25"/>
      <c r="G120" s="25"/>
      <c r="H120" s="25"/>
      <c r="I120" s="25"/>
      <c r="J120" s="26" t="str">
        <f>IFERROR(__xludf.DUMMYFUNCTION("IF(ISDATE(A120), DATE(YEAR(A120), MONTH(A120), DAY(A120)+ IFS(ISNUMBER(SEARCH(""Red"", E120)), 1, ISNUMBER(SEARCH(""Orange"", E120)), 3, ISNUMBER(SEARCH(""Yellow"", E120)), 10, ISNUMBER(SEARCH(""Ivory"", E120)), 21,TRUE, ""60"")), """")"),"")</f>
        <v/>
      </c>
      <c r="K120" s="27"/>
      <c r="L120" s="6"/>
      <c r="M120" s="6"/>
      <c r="N120" s="6"/>
      <c r="O120" s="6"/>
      <c r="P120" s="6"/>
    </row>
    <row r="121" ht="22.5" customHeight="1">
      <c r="A121" s="24"/>
      <c r="B121" s="25"/>
      <c r="C121" s="25"/>
      <c r="D121" s="25"/>
      <c r="E121" s="25"/>
      <c r="F121" s="25"/>
      <c r="G121" s="25"/>
      <c r="H121" s="25"/>
      <c r="I121" s="25"/>
      <c r="J121" s="26" t="str">
        <f>IFERROR(__xludf.DUMMYFUNCTION("IF(ISDATE(A121), DATE(YEAR(A121), MONTH(A121), DAY(A121)+ IFS(ISNUMBER(SEARCH(""Red"", E121)), 1, ISNUMBER(SEARCH(""Orange"", E121)), 3, ISNUMBER(SEARCH(""Yellow"", E121)), 10, ISNUMBER(SEARCH(""Ivory"", E121)), 21,TRUE, ""60"")), """")"),"")</f>
        <v/>
      </c>
      <c r="K121" s="27"/>
      <c r="L121" s="6"/>
      <c r="M121" s="6"/>
      <c r="N121" s="6"/>
      <c r="O121" s="6"/>
      <c r="P121" s="6"/>
    </row>
    <row r="122" ht="22.5" customHeight="1">
      <c r="A122" s="24"/>
      <c r="B122" s="25"/>
      <c r="C122" s="25"/>
      <c r="D122" s="25"/>
      <c r="E122" s="25"/>
      <c r="F122" s="25"/>
      <c r="G122" s="25"/>
      <c r="H122" s="25"/>
      <c r="I122" s="25"/>
      <c r="J122" s="26" t="str">
        <f>IFERROR(__xludf.DUMMYFUNCTION("IF(ISDATE(A122), DATE(YEAR(A122), MONTH(A122), DAY(A122)+ IFS(ISNUMBER(SEARCH(""Red"", E122)), 1, ISNUMBER(SEARCH(""Orange"", E122)), 3, ISNUMBER(SEARCH(""Yellow"", E122)), 10, ISNUMBER(SEARCH(""Ivory"", E122)), 21,TRUE, ""60"")), """")"),"")</f>
        <v/>
      </c>
      <c r="K122" s="27"/>
      <c r="L122" s="6"/>
      <c r="M122" s="6"/>
      <c r="N122" s="6"/>
      <c r="O122" s="6"/>
      <c r="P122" s="6"/>
    </row>
    <row r="123" ht="22.5" customHeight="1">
      <c r="A123" s="24"/>
      <c r="B123" s="25"/>
      <c r="C123" s="25"/>
      <c r="D123" s="25"/>
      <c r="E123" s="25"/>
      <c r="F123" s="25"/>
      <c r="G123" s="25"/>
      <c r="H123" s="25"/>
      <c r="I123" s="25"/>
      <c r="J123" s="26" t="str">
        <f>IFERROR(__xludf.DUMMYFUNCTION("IF(ISDATE(A123), DATE(YEAR(A123), MONTH(A123), DAY(A123)+ IFS(ISNUMBER(SEARCH(""Red"", E123)), 1, ISNUMBER(SEARCH(""Orange"", E123)), 3, ISNUMBER(SEARCH(""Yellow"", E123)), 10, ISNUMBER(SEARCH(""Ivory"", E123)), 21,TRUE, ""60"")), """")"),"")</f>
        <v/>
      </c>
      <c r="K123" s="27"/>
      <c r="L123" s="6"/>
      <c r="M123" s="6"/>
      <c r="N123" s="6"/>
      <c r="O123" s="6"/>
      <c r="P123" s="6"/>
    </row>
    <row r="124" ht="22.5" customHeight="1">
      <c r="A124" s="24"/>
      <c r="B124" s="25"/>
      <c r="C124" s="25"/>
      <c r="D124" s="25"/>
      <c r="E124" s="25"/>
      <c r="F124" s="25"/>
      <c r="G124" s="25"/>
      <c r="H124" s="25"/>
      <c r="I124" s="25"/>
      <c r="J124" s="26" t="str">
        <f>IFERROR(__xludf.DUMMYFUNCTION("IF(ISDATE(A124), DATE(YEAR(A124), MONTH(A124), DAY(A124)+ IFS(ISNUMBER(SEARCH(""Red"", E124)), 1, ISNUMBER(SEARCH(""Orange"", E124)), 3, ISNUMBER(SEARCH(""Yellow"", E124)), 10, ISNUMBER(SEARCH(""Ivory"", E124)), 21,TRUE, ""60"")), """")"),"")</f>
        <v/>
      </c>
      <c r="K124" s="27"/>
      <c r="L124" s="6"/>
      <c r="M124" s="6"/>
      <c r="N124" s="6"/>
      <c r="O124" s="6"/>
      <c r="P124" s="6"/>
    </row>
    <row r="125" ht="22.5" customHeight="1">
      <c r="A125" s="24"/>
      <c r="B125" s="25"/>
      <c r="C125" s="25"/>
      <c r="D125" s="25"/>
      <c r="E125" s="25"/>
      <c r="F125" s="25"/>
      <c r="G125" s="25"/>
      <c r="H125" s="25"/>
      <c r="I125" s="25"/>
      <c r="J125" s="26" t="str">
        <f>IFERROR(__xludf.DUMMYFUNCTION("IF(ISDATE(A125), DATE(YEAR(A125), MONTH(A125), DAY(A125)+ IFS(ISNUMBER(SEARCH(""Red"", E125)), 1, ISNUMBER(SEARCH(""Orange"", E125)), 3, ISNUMBER(SEARCH(""Yellow"", E125)), 10, ISNUMBER(SEARCH(""Ivory"", E125)), 21,TRUE, ""60"")), """")"),"")</f>
        <v/>
      </c>
      <c r="K125" s="27"/>
      <c r="L125" s="6"/>
      <c r="M125" s="6"/>
      <c r="N125" s="6"/>
      <c r="O125" s="6"/>
      <c r="P125" s="6"/>
    </row>
    <row r="126" ht="22.5" customHeight="1">
      <c r="A126" s="24"/>
      <c r="B126" s="25"/>
      <c r="C126" s="25"/>
      <c r="D126" s="25"/>
      <c r="E126" s="25"/>
      <c r="F126" s="25"/>
      <c r="G126" s="25"/>
      <c r="H126" s="25"/>
      <c r="I126" s="25"/>
      <c r="J126" s="26" t="str">
        <f>IFERROR(__xludf.DUMMYFUNCTION("IF(ISDATE(A126), DATE(YEAR(A126), MONTH(A126), DAY(A126)+ IFS(ISNUMBER(SEARCH(""Red"", E126)), 1, ISNUMBER(SEARCH(""Orange"", E126)), 3, ISNUMBER(SEARCH(""Yellow"", E126)), 10, ISNUMBER(SEARCH(""Ivory"", E126)), 21,TRUE, ""60"")), """")"),"")</f>
        <v/>
      </c>
      <c r="K126" s="27"/>
      <c r="L126" s="6"/>
      <c r="M126" s="6"/>
      <c r="N126" s="6"/>
      <c r="O126" s="6"/>
      <c r="P126" s="6"/>
    </row>
    <row r="127" ht="22.5" customHeight="1">
      <c r="A127" s="24"/>
      <c r="B127" s="25"/>
      <c r="C127" s="25"/>
      <c r="D127" s="25"/>
      <c r="E127" s="25"/>
      <c r="F127" s="25"/>
      <c r="G127" s="25"/>
      <c r="H127" s="25"/>
      <c r="I127" s="25"/>
      <c r="J127" s="26" t="str">
        <f>IFERROR(__xludf.DUMMYFUNCTION("IF(ISDATE(A127), DATE(YEAR(A127), MONTH(A127), DAY(A127)+ IFS(ISNUMBER(SEARCH(""Red"", E127)), 1, ISNUMBER(SEARCH(""Orange"", E127)), 3, ISNUMBER(SEARCH(""Yellow"", E127)), 10, ISNUMBER(SEARCH(""Ivory"", E127)), 21,TRUE, ""60"")), """")"),"")</f>
        <v/>
      </c>
      <c r="K127" s="27"/>
      <c r="L127" s="6"/>
      <c r="M127" s="6"/>
      <c r="N127" s="6"/>
      <c r="O127" s="6"/>
      <c r="P127" s="6"/>
    </row>
    <row r="128" ht="22.5" customHeight="1">
      <c r="A128" s="24"/>
      <c r="B128" s="25"/>
      <c r="C128" s="25"/>
      <c r="D128" s="25"/>
      <c r="E128" s="25"/>
      <c r="F128" s="25"/>
      <c r="G128" s="25"/>
      <c r="H128" s="25"/>
      <c r="I128" s="25"/>
      <c r="J128" s="26" t="str">
        <f>IFERROR(__xludf.DUMMYFUNCTION("IF(ISDATE(A128), DATE(YEAR(A128), MONTH(A128), DAY(A128)+ IFS(ISNUMBER(SEARCH(""Red"", E128)), 1, ISNUMBER(SEARCH(""Orange"", E128)), 3, ISNUMBER(SEARCH(""Yellow"", E128)), 10, ISNUMBER(SEARCH(""Ivory"", E128)), 21,TRUE, ""60"")), """")"),"")</f>
        <v/>
      </c>
      <c r="K128" s="27"/>
      <c r="L128" s="6"/>
      <c r="M128" s="6"/>
      <c r="N128" s="6"/>
      <c r="O128" s="6"/>
      <c r="P128" s="6"/>
    </row>
    <row r="129" ht="22.5" customHeight="1">
      <c r="A129" s="24"/>
      <c r="B129" s="25"/>
      <c r="C129" s="25"/>
      <c r="D129" s="25"/>
      <c r="E129" s="25"/>
      <c r="F129" s="25"/>
      <c r="G129" s="25"/>
      <c r="H129" s="25"/>
      <c r="I129" s="25"/>
      <c r="J129" s="26" t="str">
        <f>IFERROR(__xludf.DUMMYFUNCTION("IF(ISDATE(A129), DATE(YEAR(A129), MONTH(A129), DAY(A129)+ IFS(ISNUMBER(SEARCH(""Red"", E129)), 1, ISNUMBER(SEARCH(""Orange"", E129)), 3, ISNUMBER(SEARCH(""Yellow"", E129)), 10, ISNUMBER(SEARCH(""Ivory"", E129)), 21,TRUE, ""60"")), """")"),"")</f>
        <v/>
      </c>
      <c r="K129" s="27"/>
      <c r="L129" s="6"/>
      <c r="M129" s="6"/>
      <c r="N129" s="6"/>
      <c r="O129" s="6"/>
      <c r="P129" s="6"/>
    </row>
    <row r="130" ht="22.5" customHeight="1">
      <c r="A130" s="24"/>
      <c r="B130" s="25"/>
      <c r="C130" s="25"/>
      <c r="D130" s="25"/>
      <c r="E130" s="25"/>
      <c r="F130" s="25"/>
      <c r="G130" s="25"/>
      <c r="H130" s="25"/>
      <c r="I130" s="25"/>
      <c r="J130" s="26" t="str">
        <f>IFERROR(__xludf.DUMMYFUNCTION("IF(ISDATE(A130), DATE(YEAR(A130), MONTH(A130), DAY(A130)+ IFS(ISNUMBER(SEARCH(""Red"", E130)), 1, ISNUMBER(SEARCH(""Orange"", E130)), 3, ISNUMBER(SEARCH(""Yellow"", E130)), 10, ISNUMBER(SEARCH(""Ivory"", E130)), 21,TRUE, ""60"")), """")"),"")</f>
        <v/>
      </c>
      <c r="K130" s="27"/>
      <c r="L130" s="6"/>
      <c r="M130" s="6"/>
      <c r="N130" s="6"/>
      <c r="O130" s="6"/>
      <c r="P130" s="6"/>
    </row>
    <row r="131" ht="22.5" customHeight="1">
      <c r="A131" s="24"/>
      <c r="B131" s="25"/>
      <c r="C131" s="25"/>
      <c r="D131" s="25"/>
      <c r="E131" s="25"/>
      <c r="F131" s="25"/>
      <c r="G131" s="25"/>
      <c r="H131" s="25"/>
      <c r="I131" s="25"/>
      <c r="J131" s="26" t="str">
        <f>IFERROR(__xludf.DUMMYFUNCTION("IF(ISDATE(A131), DATE(YEAR(A131), MONTH(A131), DAY(A131)+ IFS(ISNUMBER(SEARCH(""Red"", E131)), 1, ISNUMBER(SEARCH(""Orange"", E131)), 3, ISNUMBER(SEARCH(""Yellow"", E131)), 10, ISNUMBER(SEARCH(""Ivory"", E131)), 21,TRUE, ""60"")), """")"),"")</f>
        <v/>
      </c>
      <c r="K131" s="27"/>
      <c r="L131" s="6"/>
      <c r="M131" s="6"/>
      <c r="N131" s="6"/>
      <c r="O131" s="6"/>
      <c r="P131" s="6"/>
    </row>
    <row r="132" ht="22.5" customHeight="1">
      <c r="A132" s="24"/>
      <c r="B132" s="25"/>
      <c r="C132" s="25"/>
      <c r="D132" s="25"/>
      <c r="E132" s="25"/>
      <c r="F132" s="25"/>
      <c r="G132" s="25"/>
      <c r="H132" s="25"/>
      <c r="I132" s="25"/>
      <c r="J132" s="26" t="str">
        <f>IFERROR(__xludf.DUMMYFUNCTION("IF(ISDATE(A132), DATE(YEAR(A132), MONTH(A132), DAY(A132)+ IFS(ISNUMBER(SEARCH(""Red"", E132)), 1, ISNUMBER(SEARCH(""Orange"", E132)), 3, ISNUMBER(SEARCH(""Yellow"", E132)), 10, ISNUMBER(SEARCH(""Ivory"", E132)), 21,TRUE, ""60"")), """")"),"")</f>
        <v/>
      </c>
      <c r="K132" s="27"/>
      <c r="L132" s="6"/>
      <c r="M132" s="6"/>
      <c r="N132" s="6"/>
      <c r="O132" s="6"/>
      <c r="P132" s="6"/>
    </row>
    <row r="133" ht="22.5" customHeight="1">
      <c r="A133" s="24"/>
      <c r="B133" s="25"/>
      <c r="C133" s="25"/>
      <c r="D133" s="25"/>
      <c r="E133" s="25"/>
      <c r="F133" s="25"/>
      <c r="G133" s="25"/>
      <c r="H133" s="25"/>
      <c r="I133" s="25"/>
      <c r="J133" s="26" t="str">
        <f>IFERROR(__xludf.DUMMYFUNCTION("IF(ISDATE(A133), DATE(YEAR(A133), MONTH(A133), DAY(A133)+ IFS(ISNUMBER(SEARCH(""Red"", E133)), 1, ISNUMBER(SEARCH(""Orange"", E133)), 3, ISNUMBER(SEARCH(""Yellow"", E133)), 10, ISNUMBER(SEARCH(""Ivory"", E133)), 21,TRUE, ""60"")), """")"),"")</f>
        <v/>
      </c>
      <c r="K133" s="27"/>
      <c r="L133" s="6"/>
      <c r="M133" s="6"/>
      <c r="N133" s="6"/>
      <c r="O133" s="6"/>
      <c r="P133" s="6"/>
    </row>
    <row r="134" ht="22.5" customHeight="1">
      <c r="A134" s="24"/>
      <c r="B134" s="25"/>
      <c r="C134" s="25"/>
      <c r="D134" s="25"/>
      <c r="E134" s="25"/>
      <c r="F134" s="25"/>
      <c r="G134" s="25"/>
      <c r="H134" s="25"/>
      <c r="I134" s="25"/>
      <c r="J134" s="26" t="str">
        <f>IFERROR(__xludf.DUMMYFUNCTION("IF(ISDATE(A134), DATE(YEAR(A134), MONTH(A134), DAY(A134)+ IFS(ISNUMBER(SEARCH(""Red"", E134)), 1, ISNUMBER(SEARCH(""Orange"", E134)), 3, ISNUMBER(SEARCH(""Yellow"", E134)), 10, ISNUMBER(SEARCH(""Ivory"", E134)), 21,TRUE, ""60"")), """")"),"")</f>
        <v/>
      </c>
      <c r="K134" s="27"/>
      <c r="L134" s="6"/>
      <c r="M134" s="6"/>
      <c r="N134" s="6"/>
      <c r="O134" s="6"/>
      <c r="P134" s="6"/>
    </row>
    <row r="135" ht="22.5" customHeight="1">
      <c r="A135" s="24"/>
      <c r="B135" s="25"/>
      <c r="C135" s="25"/>
      <c r="D135" s="25"/>
      <c r="E135" s="25"/>
      <c r="F135" s="25"/>
      <c r="G135" s="25"/>
      <c r="H135" s="25"/>
      <c r="I135" s="25"/>
      <c r="J135" s="26" t="str">
        <f>IFERROR(__xludf.DUMMYFUNCTION("IF(ISDATE(A135), DATE(YEAR(A135), MONTH(A135), DAY(A135)+ IFS(ISNUMBER(SEARCH(""Red"", E135)), 1, ISNUMBER(SEARCH(""Orange"", E135)), 3, ISNUMBER(SEARCH(""Yellow"", E135)), 10, ISNUMBER(SEARCH(""Ivory"", E135)), 21,TRUE, ""60"")), """")"),"")</f>
        <v/>
      </c>
      <c r="K135" s="27"/>
      <c r="L135" s="6"/>
      <c r="M135" s="6"/>
      <c r="N135" s="6"/>
      <c r="O135" s="6"/>
      <c r="P135" s="6"/>
    </row>
    <row r="136" ht="22.5" customHeight="1">
      <c r="A136" s="24"/>
      <c r="B136" s="25"/>
      <c r="C136" s="25"/>
      <c r="D136" s="25"/>
      <c r="E136" s="25"/>
      <c r="F136" s="25"/>
      <c r="G136" s="25"/>
      <c r="H136" s="25"/>
      <c r="I136" s="25"/>
      <c r="J136" s="26" t="str">
        <f>IFERROR(__xludf.DUMMYFUNCTION("IF(ISDATE(A136), DATE(YEAR(A136), MONTH(A136), DAY(A136)+ IFS(ISNUMBER(SEARCH(""Red"", E136)), 1, ISNUMBER(SEARCH(""Orange"", E136)), 3, ISNUMBER(SEARCH(""Yellow"", E136)), 10, ISNUMBER(SEARCH(""Ivory"", E136)), 21,TRUE, ""60"")), """")"),"")</f>
        <v/>
      </c>
      <c r="K136" s="27"/>
      <c r="L136" s="6"/>
      <c r="M136" s="6"/>
      <c r="N136" s="6"/>
      <c r="O136" s="6"/>
      <c r="P136" s="6"/>
    </row>
    <row r="137" ht="22.5" customHeight="1">
      <c r="A137" s="24"/>
      <c r="B137" s="25"/>
      <c r="C137" s="25"/>
      <c r="D137" s="25"/>
      <c r="E137" s="25"/>
      <c r="F137" s="25"/>
      <c r="G137" s="25"/>
      <c r="H137" s="25"/>
      <c r="I137" s="25"/>
      <c r="J137" s="26" t="str">
        <f>IFERROR(__xludf.DUMMYFUNCTION("IF(ISDATE(A137), DATE(YEAR(A137), MONTH(A137), DAY(A137)+ IFS(ISNUMBER(SEARCH(""Red"", E137)), 1, ISNUMBER(SEARCH(""Orange"", E137)), 3, ISNUMBER(SEARCH(""Yellow"", E137)), 10, ISNUMBER(SEARCH(""Ivory"", E137)), 21,TRUE, ""60"")), """")"),"")</f>
        <v/>
      </c>
      <c r="K137" s="27"/>
      <c r="L137" s="6"/>
      <c r="M137" s="6"/>
      <c r="N137" s="6"/>
      <c r="O137" s="6"/>
      <c r="P137" s="6"/>
    </row>
    <row r="138" ht="22.5" customHeight="1">
      <c r="A138" s="24"/>
      <c r="B138" s="25"/>
      <c r="C138" s="25"/>
      <c r="D138" s="25"/>
      <c r="E138" s="25"/>
      <c r="F138" s="25"/>
      <c r="G138" s="25"/>
      <c r="H138" s="25"/>
      <c r="I138" s="25"/>
      <c r="J138" s="26" t="str">
        <f>IFERROR(__xludf.DUMMYFUNCTION("IF(ISDATE(A138), DATE(YEAR(A138), MONTH(A138), DAY(A138)+ IFS(ISNUMBER(SEARCH(""Red"", E138)), 1, ISNUMBER(SEARCH(""Orange"", E138)), 3, ISNUMBER(SEARCH(""Yellow"", E138)), 10, ISNUMBER(SEARCH(""Ivory"", E138)), 21,TRUE, ""60"")), """")"),"")</f>
        <v/>
      </c>
      <c r="K138" s="27"/>
      <c r="L138" s="6"/>
      <c r="M138" s="6"/>
      <c r="N138" s="6"/>
      <c r="O138" s="6"/>
      <c r="P138" s="6"/>
    </row>
    <row r="139" ht="22.5" customHeight="1">
      <c r="A139" s="24"/>
      <c r="B139" s="25"/>
      <c r="C139" s="25"/>
      <c r="D139" s="25"/>
      <c r="E139" s="25"/>
      <c r="F139" s="25"/>
      <c r="G139" s="25"/>
      <c r="H139" s="25"/>
      <c r="I139" s="25"/>
      <c r="J139" s="26" t="str">
        <f>IFERROR(__xludf.DUMMYFUNCTION("IF(ISDATE(A139), DATE(YEAR(A139), MONTH(A139), DAY(A139)+ IFS(ISNUMBER(SEARCH(""Red"", E139)), 1, ISNUMBER(SEARCH(""Orange"", E139)), 3, ISNUMBER(SEARCH(""Yellow"", E139)), 10, ISNUMBER(SEARCH(""Ivory"", E139)), 21,TRUE, ""60"")), """")"),"")</f>
        <v/>
      </c>
      <c r="K139" s="27"/>
      <c r="L139" s="6"/>
      <c r="M139" s="6"/>
      <c r="N139" s="6"/>
      <c r="O139" s="6"/>
      <c r="P139" s="6"/>
    </row>
    <row r="140" ht="22.5" customHeight="1">
      <c r="A140" s="24"/>
      <c r="B140" s="25"/>
      <c r="C140" s="25"/>
      <c r="D140" s="25"/>
      <c r="E140" s="25"/>
      <c r="F140" s="25"/>
      <c r="G140" s="25"/>
      <c r="H140" s="25"/>
      <c r="I140" s="25"/>
      <c r="J140" s="26" t="str">
        <f>IFERROR(__xludf.DUMMYFUNCTION("IF(ISDATE(A140), DATE(YEAR(A140), MONTH(A140), DAY(A140)+ IFS(ISNUMBER(SEARCH(""Red"", E140)), 1, ISNUMBER(SEARCH(""Orange"", E140)), 3, ISNUMBER(SEARCH(""Yellow"", E140)), 10, ISNUMBER(SEARCH(""Ivory"", E140)), 21,TRUE, ""60"")), """")"),"")</f>
        <v/>
      </c>
      <c r="K140" s="27"/>
      <c r="L140" s="6"/>
      <c r="M140" s="6"/>
      <c r="N140" s="6"/>
      <c r="O140" s="6"/>
      <c r="P140" s="6"/>
    </row>
    <row r="141" ht="22.5" customHeight="1">
      <c r="A141" s="24"/>
      <c r="B141" s="25"/>
      <c r="C141" s="25"/>
      <c r="D141" s="25"/>
      <c r="E141" s="25"/>
      <c r="F141" s="25"/>
      <c r="G141" s="25"/>
      <c r="H141" s="25"/>
      <c r="I141" s="25"/>
      <c r="J141" s="26" t="str">
        <f>IFERROR(__xludf.DUMMYFUNCTION("IF(ISDATE(A141), DATE(YEAR(A141), MONTH(A141), DAY(A141)+ IFS(ISNUMBER(SEARCH(""Red"", E141)), 1, ISNUMBER(SEARCH(""Orange"", E141)), 3, ISNUMBER(SEARCH(""Yellow"", E141)), 10, ISNUMBER(SEARCH(""Ivory"", E141)), 21,TRUE, ""60"")), """")"),"")</f>
        <v/>
      </c>
      <c r="K141" s="27"/>
      <c r="L141" s="6"/>
      <c r="M141" s="6"/>
      <c r="N141" s="6"/>
      <c r="O141" s="6"/>
      <c r="P141" s="6"/>
    </row>
    <row r="142" ht="22.5" customHeight="1">
      <c r="A142" s="24"/>
      <c r="B142" s="25"/>
      <c r="C142" s="25"/>
      <c r="D142" s="25"/>
      <c r="E142" s="25"/>
      <c r="F142" s="25"/>
      <c r="G142" s="25"/>
      <c r="H142" s="25"/>
      <c r="I142" s="25"/>
      <c r="J142" s="26" t="str">
        <f>IFERROR(__xludf.DUMMYFUNCTION("IF(ISDATE(A142), DATE(YEAR(A142), MONTH(A142), DAY(A142)+ IFS(ISNUMBER(SEARCH(""Red"", E142)), 1, ISNUMBER(SEARCH(""Orange"", E142)), 3, ISNUMBER(SEARCH(""Yellow"", E142)), 10, ISNUMBER(SEARCH(""Ivory"", E142)), 21,TRUE, ""60"")), """")"),"")</f>
        <v/>
      </c>
      <c r="K142" s="27"/>
      <c r="L142" s="6"/>
      <c r="M142" s="6"/>
      <c r="N142" s="6"/>
      <c r="O142" s="6"/>
      <c r="P142" s="6"/>
    </row>
    <row r="143" ht="22.5" customHeight="1">
      <c r="A143" s="24"/>
      <c r="B143" s="25"/>
      <c r="C143" s="25"/>
      <c r="D143" s="25"/>
      <c r="E143" s="25"/>
      <c r="F143" s="25"/>
      <c r="G143" s="25"/>
      <c r="H143" s="25"/>
      <c r="I143" s="25"/>
      <c r="J143" s="26" t="str">
        <f>IFERROR(__xludf.DUMMYFUNCTION("IF(ISDATE(A143), DATE(YEAR(A143), MONTH(A143), DAY(A143)+ IFS(ISNUMBER(SEARCH(""Red"", E143)), 1, ISNUMBER(SEARCH(""Orange"", E143)), 3, ISNUMBER(SEARCH(""Yellow"", E143)), 10, ISNUMBER(SEARCH(""Ivory"", E143)), 21,TRUE, ""60"")), """")"),"")</f>
        <v/>
      </c>
      <c r="K143" s="27"/>
      <c r="L143" s="6"/>
      <c r="M143" s="6"/>
      <c r="N143" s="6"/>
      <c r="O143" s="6"/>
      <c r="P143" s="6"/>
    </row>
    <row r="144" ht="22.5" customHeight="1">
      <c r="A144" s="24"/>
      <c r="B144" s="25"/>
      <c r="C144" s="25"/>
      <c r="D144" s="25"/>
      <c r="E144" s="25"/>
      <c r="F144" s="25"/>
      <c r="G144" s="25"/>
      <c r="H144" s="25"/>
      <c r="I144" s="25"/>
      <c r="J144" s="26" t="str">
        <f>IFERROR(__xludf.DUMMYFUNCTION("IF(ISDATE(A144), DATE(YEAR(A144), MONTH(A144), DAY(A144)+ IFS(ISNUMBER(SEARCH(""Red"", E144)), 1, ISNUMBER(SEARCH(""Orange"", E144)), 3, ISNUMBER(SEARCH(""Yellow"", E144)), 10, ISNUMBER(SEARCH(""Ivory"", E144)), 21,TRUE, ""60"")), """")"),"")</f>
        <v/>
      </c>
      <c r="K144" s="27"/>
      <c r="L144" s="6"/>
      <c r="M144" s="6"/>
      <c r="N144" s="6"/>
      <c r="O144" s="6"/>
      <c r="P144" s="6"/>
    </row>
    <row r="145" ht="22.5" customHeight="1">
      <c r="A145" s="24"/>
      <c r="B145" s="25"/>
      <c r="C145" s="25"/>
      <c r="D145" s="25"/>
      <c r="E145" s="25"/>
      <c r="F145" s="25"/>
      <c r="G145" s="25"/>
      <c r="H145" s="25"/>
      <c r="I145" s="25"/>
      <c r="J145" s="26" t="str">
        <f>IFERROR(__xludf.DUMMYFUNCTION("IF(ISDATE(A145), DATE(YEAR(A145), MONTH(A145), DAY(A145)+ IFS(ISNUMBER(SEARCH(""Red"", E145)), 1, ISNUMBER(SEARCH(""Orange"", E145)), 3, ISNUMBER(SEARCH(""Yellow"", E145)), 10, ISNUMBER(SEARCH(""Ivory"", E145)), 21,TRUE, ""60"")), """")"),"")</f>
        <v/>
      </c>
      <c r="K145" s="27"/>
      <c r="L145" s="6"/>
      <c r="M145" s="6"/>
      <c r="N145" s="6"/>
      <c r="O145" s="6"/>
      <c r="P145" s="6"/>
    </row>
    <row r="146" ht="22.5" customHeight="1">
      <c r="A146" s="24"/>
      <c r="B146" s="25"/>
      <c r="C146" s="25"/>
      <c r="D146" s="25"/>
      <c r="E146" s="25"/>
      <c r="F146" s="25"/>
      <c r="G146" s="25"/>
      <c r="H146" s="25"/>
      <c r="I146" s="25"/>
      <c r="J146" s="26" t="str">
        <f>IFERROR(__xludf.DUMMYFUNCTION("IF(ISDATE(A146), DATE(YEAR(A146), MONTH(A146), DAY(A146)+ IFS(ISNUMBER(SEARCH(""Red"", E146)), 1, ISNUMBER(SEARCH(""Orange"", E146)), 3, ISNUMBER(SEARCH(""Yellow"", E146)), 10, ISNUMBER(SEARCH(""Ivory"", E146)), 21,TRUE, ""60"")), """")"),"")</f>
        <v/>
      </c>
      <c r="K146" s="27"/>
      <c r="L146" s="6"/>
      <c r="M146" s="6"/>
      <c r="N146" s="6"/>
      <c r="O146" s="6"/>
      <c r="P146" s="6"/>
    </row>
    <row r="147" ht="22.5" customHeight="1">
      <c r="A147" s="24"/>
      <c r="B147" s="25"/>
      <c r="C147" s="25"/>
      <c r="D147" s="25"/>
      <c r="E147" s="25"/>
      <c r="F147" s="25"/>
      <c r="G147" s="25"/>
      <c r="H147" s="25"/>
      <c r="I147" s="25"/>
      <c r="J147" s="26" t="str">
        <f>IFERROR(__xludf.DUMMYFUNCTION("IF(ISDATE(A147), DATE(YEAR(A147), MONTH(A147), DAY(A147)+ IFS(ISNUMBER(SEARCH(""Red"", E147)), 1, ISNUMBER(SEARCH(""Orange"", E147)), 3, ISNUMBER(SEARCH(""Yellow"", E147)), 10, ISNUMBER(SEARCH(""Ivory"", E147)), 21,TRUE, ""60"")), """")"),"")</f>
        <v/>
      </c>
      <c r="K147" s="27"/>
      <c r="L147" s="6"/>
      <c r="M147" s="6"/>
      <c r="N147" s="6"/>
      <c r="O147" s="6"/>
      <c r="P147" s="6"/>
    </row>
    <row r="148" ht="22.5" customHeight="1">
      <c r="A148" s="24"/>
      <c r="B148" s="25"/>
      <c r="C148" s="25"/>
      <c r="D148" s="25"/>
      <c r="E148" s="25"/>
      <c r="F148" s="25"/>
      <c r="G148" s="25"/>
      <c r="H148" s="25"/>
      <c r="I148" s="25"/>
      <c r="J148" s="26" t="str">
        <f>IFERROR(__xludf.DUMMYFUNCTION("IF(ISDATE(A148), DATE(YEAR(A148), MONTH(A148), DAY(A148)+ IFS(ISNUMBER(SEARCH(""Red"", E148)), 1, ISNUMBER(SEARCH(""Orange"", E148)), 3, ISNUMBER(SEARCH(""Yellow"", E148)), 10, ISNUMBER(SEARCH(""Ivory"", E148)), 21,TRUE, ""60"")), """")"),"")</f>
        <v/>
      </c>
      <c r="K148" s="27"/>
      <c r="L148" s="6"/>
      <c r="M148" s="6"/>
      <c r="N148" s="6"/>
      <c r="O148" s="6"/>
      <c r="P148" s="6"/>
    </row>
    <row r="149" ht="22.5" customHeight="1">
      <c r="A149" s="24"/>
      <c r="B149" s="25"/>
      <c r="C149" s="25"/>
      <c r="D149" s="25"/>
      <c r="E149" s="25"/>
      <c r="F149" s="25"/>
      <c r="G149" s="25"/>
      <c r="H149" s="25"/>
      <c r="I149" s="25"/>
      <c r="J149" s="26" t="str">
        <f>IFERROR(__xludf.DUMMYFUNCTION("IF(ISDATE(A149), DATE(YEAR(A149), MONTH(A149), DAY(A149)+ IFS(ISNUMBER(SEARCH(""Red"", E149)), 1, ISNUMBER(SEARCH(""Orange"", E149)), 3, ISNUMBER(SEARCH(""Yellow"", E149)), 10, ISNUMBER(SEARCH(""Ivory"", E149)), 21,TRUE, ""60"")), """")"),"")</f>
        <v/>
      </c>
      <c r="K149" s="27"/>
      <c r="L149" s="6"/>
      <c r="M149" s="6"/>
      <c r="N149" s="6"/>
      <c r="O149" s="6"/>
      <c r="P149" s="6"/>
    </row>
    <row r="150" ht="22.5" customHeight="1">
      <c r="A150" s="24"/>
      <c r="B150" s="25"/>
      <c r="C150" s="25"/>
      <c r="D150" s="25"/>
      <c r="E150" s="25"/>
      <c r="F150" s="25"/>
      <c r="G150" s="25"/>
      <c r="H150" s="25"/>
      <c r="I150" s="25"/>
      <c r="J150" s="26" t="str">
        <f>IFERROR(__xludf.DUMMYFUNCTION("IF(ISDATE(A150), DATE(YEAR(A150), MONTH(A150), DAY(A150)+ IFS(ISNUMBER(SEARCH(""Red"", E150)), 1, ISNUMBER(SEARCH(""Orange"", E150)), 3, ISNUMBER(SEARCH(""Yellow"", E150)), 10, ISNUMBER(SEARCH(""Ivory"", E150)), 21,TRUE, ""60"")), """")"),"")</f>
        <v/>
      </c>
      <c r="K150" s="27"/>
      <c r="L150" s="6"/>
      <c r="M150" s="6"/>
      <c r="N150" s="6"/>
      <c r="O150" s="6"/>
      <c r="P150" s="6"/>
    </row>
    <row r="151" ht="22.5" customHeight="1">
      <c r="A151" s="24"/>
      <c r="B151" s="25"/>
      <c r="C151" s="25"/>
      <c r="D151" s="25"/>
      <c r="E151" s="25"/>
      <c r="F151" s="25"/>
      <c r="G151" s="25"/>
      <c r="H151" s="25"/>
      <c r="I151" s="25"/>
      <c r="J151" s="26" t="str">
        <f>IFERROR(__xludf.DUMMYFUNCTION("IF(ISDATE(A151), DATE(YEAR(A151), MONTH(A151), DAY(A151)+ IFS(ISNUMBER(SEARCH(""Red"", E151)), 1, ISNUMBER(SEARCH(""Orange"", E151)), 3, ISNUMBER(SEARCH(""Yellow"", E151)), 10, ISNUMBER(SEARCH(""Ivory"", E151)), 21,TRUE, ""60"")), """")"),"")</f>
        <v/>
      </c>
      <c r="K151" s="27"/>
      <c r="L151" s="6"/>
      <c r="M151" s="6"/>
      <c r="N151" s="6"/>
      <c r="O151" s="6"/>
      <c r="P151" s="6"/>
    </row>
    <row r="152" ht="22.5" customHeight="1">
      <c r="A152" s="24"/>
      <c r="B152" s="25"/>
      <c r="C152" s="25"/>
      <c r="D152" s="25"/>
      <c r="E152" s="25"/>
      <c r="F152" s="25"/>
      <c r="G152" s="25"/>
      <c r="H152" s="25"/>
      <c r="I152" s="25"/>
      <c r="J152" s="26" t="str">
        <f>IFERROR(__xludf.DUMMYFUNCTION("IF(ISDATE(A152), DATE(YEAR(A152), MONTH(A152), DAY(A152)+ IFS(ISNUMBER(SEARCH(""Red"", E152)), 1, ISNUMBER(SEARCH(""Orange"", E152)), 3, ISNUMBER(SEARCH(""Yellow"", E152)), 10, ISNUMBER(SEARCH(""Ivory"", E152)), 21,TRUE, ""60"")), """")"),"")</f>
        <v/>
      </c>
      <c r="K152" s="27"/>
      <c r="L152" s="6"/>
      <c r="M152" s="6"/>
      <c r="N152" s="6"/>
      <c r="O152" s="6"/>
      <c r="P152" s="6"/>
    </row>
    <row r="153" ht="22.5" customHeight="1">
      <c r="A153" s="24"/>
      <c r="B153" s="25"/>
      <c r="C153" s="25"/>
      <c r="D153" s="25"/>
      <c r="E153" s="25"/>
      <c r="F153" s="25"/>
      <c r="G153" s="25"/>
      <c r="H153" s="25"/>
      <c r="I153" s="25"/>
      <c r="J153" s="26" t="str">
        <f>IFERROR(__xludf.DUMMYFUNCTION("IF(ISDATE(A153), DATE(YEAR(A153), MONTH(A153), DAY(A153)+ IFS(ISNUMBER(SEARCH(""Red"", E153)), 1, ISNUMBER(SEARCH(""Orange"", E153)), 3, ISNUMBER(SEARCH(""Yellow"", E153)), 10, ISNUMBER(SEARCH(""Ivory"", E153)), 21,TRUE, ""60"")), """")"),"")</f>
        <v/>
      </c>
      <c r="K153" s="27"/>
      <c r="L153" s="6"/>
      <c r="M153" s="6"/>
      <c r="N153" s="6"/>
      <c r="O153" s="6"/>
      <c r="P153" s="6"/>
    </row>
    <row r="154" ht="22.5" customHeight="1">
      <c r="A154" s="24"/>
      <c r="B154" s="25"/>
      <c r="C154" s="25"/>
      <c r="D154" s="25"/>
      <c r="E154" s="25"/>
      <c r="F154" s="25"/>
      <c r="G154" s="25"/>
      <c r="H154" s="25"/>
      <c r="I154" s="25"/>
      <c r="J154" s="26" t="str">
        <f>IFERROR(__xludf.DUMMYFUNCTION("IF(ISDATE(A154), DATE(YEAR(A154), MONTH(A154), DAY(A154)+ IFS(ISNUMBER(SEARCH(""Red"", E154)), 1, ISNUMBER(SEARCH(""Orange"", E154)), 3, ISNUMBER(SEARCH(""Yellow"", E154)), 10, ISNUMBER(SEARCH(""Ivory"", E154)), 21,TRUE, ""60"")), """")"),"")</f>
        <v/>
      </c>
      <c r="K154" s="27"/>
      <c r="L154" s="6"/>
      <c r="M154" s="6"/>
      <c r="N154" s="6"/>
      <c r="O154" s="6"/>
      <c r="P154" s="6"/>
    </row>
    <row r="155" ht="22.5" customHeight="1">
      <c r="A155" s="24"/>
      <c r="B155" s="25"/>
      <c r="C155" s="25"/>
      <c r="D155" s="25"/>
      <c r="E155" s="25"/>
      <c r="F155" s="25"/>
      <c r="G155" s="25"/>
      <c r="H155" s="25"/>
      <c r="I155" s="25"/>
      <c r="J155" s="26" t="str">
        <f>IFERROR(__xludf.DUMMYFUNCTION("IF(ISDATE(A155), DATE(YEAR(A155), MONTH(A155), DAY(A155)+ IFS(ISNUMBER(SEARCH(""Red"", E155)), 1, ISNUMBER(SEARCH(""Orange"", E155)), 3, ISNUMBER(SEARCH(""Yellow"", E155)), 10, ISNUMBER(SEARCH(""Ivory"", E155)), 21,TRUE, ""60"")), """")"),"")</f>
        <v/>
      </c>
      <c r="K155" s="27"/>
      <c r="L155" s="6"/>
      <c r="M155" s="6"/>
      <c r="N155" s="6"/>
      <c r="O155" s="6"/>
      <c r="P155" s="6"/>
    </row>
    <row r="156" ht="22.5" customHeight="1">
      <c r="A156" s="24"/>
      <c r="B156" s="25"/>
      <c r="C156" s="25"/>
      <c r="D156" s="25"/>
      <c r="E156" s="25"/>
      <c r="F156" s="25"/>
      <c r="G156" s="25"/>
      <c r="H156" s="25"/>
      <c r="I156" s="25"/>
      <c r="J156" s="26" t="str">
        <f>IFERROR(__xludf.DUMMYFUNCTION("IF(ISDATE(A156), DATE(YEAR(A156), MONTH(A156), DAY(A156)+ IFS(ISNUMBER(SEARCH(""Red"", E156)), 1, ISNUMBER(SEARCH(""Orange"", E156)), 3, ISNUMBER(SEARCH(""Yellow"", E156)), 10, ISNUMBER(SEARCH(""Ivory"", E156)), 21,TRUE, ""60"")), """")"),"")</f>
        <v/>
      </c>
      <c r="K156" s="27"/>
      <c r="L156" s="6"/>
      <c r="M156" s="6"/>
      <c r="N156" s="6"/>
      <c r="O156" s="6"/>
      <c r="P156" s="6"/>
    </row>
    <row r="157" ht="22.5" customHeight="1">
      <c r="A157" s="24"/>
      <c r="B157" s="25"/>
      <c r="C157" s="25"/>
      <c r="D157" s="25"/>
      <c r="E157" s="25"/>
      <c r="F157" s="25"/>
      <c r="G157" s="25"/>
      <c r="H157" s="25"/>
      <c r="I157" s="25"/>
      <c r="J157" s="26" t="str">
        <f>IFERROR(__xludf.DUMMYFUNCTION("IF(ISDATE(A157), DATE(YEAR(A157), MONTH(A157), DAY(A157)+ IFS(ISNUMBER(SEARCH(""Red"", E157)), 1, ISNUMBER(SEARCH(""Orange"", E157)), 3, ISNUMBER(SEARCH(""Yellow"", E157)), 10, ISNUMBER(SEARCH(""Ivory"", E157)), 21,TRUE, ""60"")), """")"),"")</f>
        <v/>
      </c>
      <c r="K157" s="27"/>
      <c r="L157" s="6"/>
      <c r="M157" s="6"/>
      <c r="N157" s="6"/>
      <c r="O157" s="6"/>
      <c r="P157" s="6"/>
    </row>
    <row r="158" ht="22.5" customHeight="1">
      <c r="A158" s="24"/>
      <c r="B158" s="25"/>
      <c r="C158" s="25"/>
      <c r="D158" s="25"/>
      <c r="E158" s="25"/>
      <c r="F158" s="25"/>
      <c r="G158" s="25"/>
      <c r="H158" s="25"/>
      <c r="I158" s="25"/>
      <c r="J158" s="26" t="str">
        <f>IFERROR(__xludf.DUMMYFUNCTION("IF(ISDATE(A158), DATE(YEAR(A158), MONTH(A158), DAY(A158)+ IFS(ISNUMBER(SEARCH(""Red"", E158)), 1, ISNUMBER(SEARCH(""Orange"", E158)), 3, ISNUMBER(SEARCH(""Yellow"", E158)), 10, ISNUMBER(SEARCH(""Ivory"", E158)), 21,TRUE, ""60"")), """")"),"")</f>
        <v/>
      </c>
      <c r="K158" s="27"/>
      <c r="L158" s="6"/>
      <c r="M158" s="6"/>
      <c r="N158" s="6"/>
      <c r="O158" s="6"/>
      <c r="P158" s="6"/>
    </row>
    <row r="159" ht="22.5" customHeight="1">
      <c r="A159" s="24"/>
      <c r="B159" s="25"/>
      <c r="C159" s="25"/>
      <c r="D159" s="25"/>
      <c r="E159" s="25"/>
      <c r="F159" s="25"/>
      <c r="G159" s="25"/>
      <c r="H159" s="25"/>
      <c r="I159" s="25"/>
      <c r="J159" s="26" t="str">
        <f>IFERROR(__xludf.DUMMYFUNCTION("IF(ISDATE(A159), DATE(YEAR(A159), MONTH(A159), DAY(A159)+ IFS(ISNUMBER(SEARCH(""Red"", E159)), 1, ISNUMBER(SEARCH(""Orange"", E159)), 3, ISNUMBER(SEARCH(""Yellow"", E159)), 10, ISNUMBER(SEARCH(""Ivory"", E159)), 21,TRUE, ""60"")), """")"),"")</f>
        <v/>
      </c>
      <c r="K159" s="27"/>
      <c r="L159" s="6"/>
      <c r="M159" s="6"/>
      <c r="N159" s="6"/>
      <c r="O159" s="6"/>
      <c r="P159" s="6"/>
    </row>
    <row r="160" ht="22.5" customHeight="1">
      <c r="A160" s="24"/>
      <c r="B160" s="25"/>
      <c r="C160" s="25"/>
      <c r="D160" s="25"/>
      <c r="E160" s="25"/>
      <c r="F160" s="25"/>
      <c r="G160" s="25"/>
      <c r="H160" s="25"/>
      <c r="I160" s="25"/>
      <c r="J160" s="26" t="str">
        <f>IFERROR(__xludf.DUMMYFUNCTION("IF(ISDATE(A160), DATE(YEAR(A160), MONTH(A160), DAY(A160)+ IFS(ISNUMBER(SEARCH(""Red"", E160)), 1, ISNUMBER(SEARCH(""Orange"", E160)), 3, ISNUMBER(SEARCH(""Yellow"", E160)), 10, ISNUMBER(SEARCH(""Ivory"", E160)), 21,TRUE, ""60"")), """")"),"")</f>
        <v/>
      </c>
      <c r="K160" s="27"/>
      <c r="L160" s="6"/>
      <c r="M160" s="6"/>
      <c r="N160" s="6"/>
      <c r="O160" s="6"/>
      <c r="P160" s="6"/>
    </row>
    <row r="161" ht="22.5" customHeight="1">
      <c r="A161" s="24"/>
      <c r="B161" s="25"/>
      <c r="C161" s="25"/>
      <c r="D161" s="25"/>
      <c r="E161" s="25"/>
      <c r="F161" s="25"/>
      <c r="G161" s="25"/>
      <c r="H161" s="25"/>
      <c r="I161" s="25"/>
      <c r="J161" s="26" t="str">
        <f>IFERROR(__xludf.DUMMYFUNCTION("IF(ISDATE(A161), DATE(YEAR(A161), MONTH(A161), DAY(A161)+ IFS(ISNUMBER(SEARCH(""Red"", E161)), 1, ISNUMBER(SEARCH(""Orange"", E161)), 3, ISNUMBER(SEARCH(""Yellow"", E161)), 10, ISNUMBER(SEARCH(""Ivory"", E161)), 21,TRUE, ""60"")), """")"),"")</f>
        <v/>
      </c>
      <c r="K161" s="27"/>
      <c r="L161" s="6"/>
      <c r="M161" s="6"/>
      <c r="N161" s="6"/>
      <c r="O161" s="6"/>
      <c r="P161" s="6"/>
    </row>
    <row r="162" ht="22.5" customHeight="1">
      <c r="A162" s="24"/>
      <c r="B162" s="25"/>
      <c r="C162" s="25"/>
      <c r="D162" s="25"/>
      <c r="E162" s="25"/>
      <c r="F162" s="25"/>
      <c r="G162" s="25"/>
      <c r="H162" s="25"/>
      <c r="I162" s="25"/>
      <c r="J162" s="26" t="str">
        <f>IFERROR(__xludf.DUMMYFUNCTION("IF(ISDATE(A162), DATE(YEAR(A162), MONTH(A162), DAY(A162)+ IFS(ISNUMBER(SEARCH(""Red"", E162)), 1, ISNUMBER(SEARCH(""Orange"", E162)), 3, ISNUMBER(SEARCH(""Yellow"", E162)), 10, ISNUMBER(SEARCH(""Ivory"", E162)), 21,TRUE, ""60"")), """")"),"")</f>
        <v/>
      </c>
      <c r="K162" s="27"/>
      <c r="L162" s="6"/>
      <c r="M162" s="6"/>
      <c r="N162" s="6"/>
      <c r="O162" s="6"/>
      <c r="P162" s="6"/>
    </row>
    <row r="163" ht="22.5" customHeight="1">
      <c r="A163" s="24"/>
      <c r="B163" s="25"/>
      <c r="C163" s="25"/>
      <c r="D163" s="25"/>
      <c r="E163" s="25"/>
      <c r="F163" s="25"/>
      <c r="G163" s="25"/>
      <c r="H163" s="25"/>
      <c r="I163" s="25"/>
      <c r="J163" s="26" t="str">
        <f>IFERROR(__xludf.DUMMYFUNCTION("IF(ISDATE(A163), DATE(YEAR(A163), MONTH(A163), DAY(A163)+ IFS(ISNUMBER(SEARCH(""Red"", E163)), 1, ISNUMBER(SEARCH(""Orange"", E163)), 3, ISNUMBER(SEARCH(""Yellow"", E163)), 10, ISNUMBER(SEARCH(""Ivory"", E163)), 21,TRUE, ""60"")), """")"),"")</f>
        <v/>
      </c>
      <c r="K163" s="27"/>
      <c r="L163" s="6"/>
      <c r="M163" s="6"/>
      <c r="N163" s="6"/>
      <c r="O163" s="6"/>
      <c r="P163" s="6"/>
    </row>
    <row r="164" ht="22.5" customHeight="1">
      <c r="A164" s="24"/>
      <c r="B164" s="25"/>
      <c r="C164" s="25"/>
      <c r="D164" s="25"/>
      <c r="E164" s="25"/>
      <c r="F164" s="25"/>
      <c r="G164" s="25"/>
      <c r="H164" s="25"/>
      <c r="I164" s="25"/>
      <c r="J164" s="26" t="str">
        <f>IFERROR(__xludf.DUMMYFUNCTION("IF(ISDATE(A164), DATE(YEAR(A164), MONTH(A164), DAY(A164)+ IFS(ISNUMBER(SEARCH(""Red"", E164)), 1, ISNUMBER(SEARCH(""Orange"", E164)), 3, ISNUMBER(SEARCH(""Yellow"", E164)), 10, ISNUMBER(SEARCH(""Ivory"", E164)), 21,TRUE, ""60"")), """")"),"")</f>
        <v/>
      </c>
      <c r="K164" s="27"/>
      <c r="L164" s="6"/>
      <c r="M164" s="6"/>
      <c r="N164" s="6"/>
      <c r="O164" s="6"/>
      <c r="P164" s="6"/>
    </row>
    <row r="165" ht="22.5" customHeight="1">
      <c r="A165" s="24"/>
      <c r="B165" s="25"/>
      <c r="C165" s="25"/>
      <c r="D165" s="25"/>
      <c r="E165" s="25"/>
      <c r="F165" s="25"/>
      <c r="G165" s="25"/>
      <c r="H165" s="25"/>
      <c r="I165" s="25"/>
      <c r="J165" s="26" t="str">
        <f>IFERROR(__xludf.DUMMYFUNCTION("IF(ISDATE(A165), DATE(YEAR(A165), MONTH(A165), DAY(A165)+ IFS(ISNUMBER(SEARCH(""Red"", E165)), 1, ISNUMBER(SEARCH(""Orange"", E165)), 3, ISNUMBER(SEARCH(""Yellow"", E165)), 10, ISNUMBER(SEARCH(""Ivory"", E165)), 21,TRUE, ""60"")), """")"),"")</f>
        <v/>
      </c>
      <c r="K165" s="27"/>
      <c r="L165" s="6"/>
      <c r="M165" s="6"/>
      <c r="N165" s="6"/>
      <c r="O165" s="6"/>
      <c r="P165" s="6"/>
    </row>
    <row r="166" ht="22.5" customHeight="1">
      <c r="A166" s="24"/>
      <c r="B166" s="25"/>
      <c r="C166" s="25"/>
      <c r="D166" s="25"/>
      <c r="E166" s="25"/>
      <c r="F166" s="25"/>
      <c r="G166" s="25"/>
      <c r="H166" s="25"/>
      <c r="I166" s="25"/>
      <c r="J166" s="26" t="str">
        <f>IFERROR(__xludf.DUMMYFUNCTION("IF(ISDATE(A166), DATE(YEAR(A166), MONTH(A166), DAY(A166)+ IFS(ISNUMBER(SEARCH(""Red"", E166)), 1, ISNUMBER(SEARCH(""Orange"", E166)), 3, ISNUMBER(SEARCH(""Yellow"", E166)), 10, ISNUMBER(SEARCH(""Ivory"", E166)), 21,TRUE, ""60"")), """")"),"")</f>
        <v/>
      </c>
      <c r="K166" s="27"/>
      <c r="L166" s="6"/>
      <c r="M166" s="6"/>
      <c r="N166" s="6"/>
      <c r="O166" s="6"/>
      <c r="P166" s="6"/>
    </row>
    <row r="167" ht="22.5" customHeight="1">
      <c r="A167" s="24"/>
      <c r="B167" s="25"/>
      <c r="C167" s="25"/>
      <c r="D167" s="25"/>
      <c r="E167" s="25"/>
      <c r="F167" s="25"/>
      <c r="G167" s="25"/>
      <c r="H167" s="25"/>
      <c r="I167" s="25"/>
      <c r="J167" s="26" t="str">
        <f>IFERROR(__xludf.DUMMYFUNCTION("IF(ISDATE(A167), DATE(YEAR(A167), MONTH(A167), DAY(A167)+ IFS(ISNUMBER(SEARCH(""Red"", E167)), 1, ISNUMBER(SEARCH(""Orange"", E167)), 3, ISNUMBER(SEARCH(""Yellow"", E167)), 10, ISNUMBER(SEARCH(""Ivory"", E167)), 21,TRUE, ""60"")), """")"),"")</f>
        <v/>
      </c>
      <c r="K167" s="27"/>
      <c r="L167" s="6"/>
      <c r="M167" s="6"/>
      <c r="N167" s="6"/>
      <c r="O167" s="6"/>
      <c r="P167" s="6"/>
    </row>
    <row r="168" ht="22.5" customHeight="1">
      <c r="A168" s="24"/>
      <c r="B168" s="25"/>
      <c r="C168" s="25"/>
      <c r="D168" s="25"/>
      <c r="E168" s="25"/>
      <c r="F168" s="25"/>
      <c r="G168" s="25"/>
      <c r="H168" s="25"/>
      <c r="I168" s="25"/>
      <c r="J168" s="26" t="str">
        <f>IFERROR(__xludf.DUMMYFUNCTION("IF(ISDATE(A168), DATE(YEAR(A168), MONTH(A168), DAY(A168)+ IFS(ISNUMBER(SEARCH(""Red"", E168)), 1, ISNUMBER(SEARCH(""Orange"", E168)), 3, ISNUMBER(SEARCH(""Yellow"", E168)), 10, ISNUMBER(SEARCH(""Ivory"", E168)), 21,TRUE, ""60"")), """")"),"")</f>
        <v/>
      </c>
      <c r="K168" s="27"/>
      <c r="L168" s="6"/>
      <c r="M168" s="6"/>
      <c r="N168" s="6"/>
      <c r="O168" s="6"/>
      <c r="P168" s="6"/>
    </row>
    <row r="169" ht="22.5" customHeight="1">
      <c r="A169" s="24"/>
      <c r="B169" s="25"/>
      <c r="C169" s="25"/>
      <c r="D169" s="25"/>
      <c r="E169" s="25"/>
      <c r="F169" s="25"/>
      <c r="G169" s="25"/>
      <c r="H169" s="25"/>
      <c r="I169" s="25"/>
      <c r="J169" s="26" t="str">
        <f>IFERROR(__xludf.DUMMYFUNCTION("IF(ISDATE(A169), DATE(YEAR(A169), MONTH(A169), DAY(A169)+ IFS(ISNUMBER(SEARCH(""Red"", E169)), 1, ISNUMBER(SEARCH(""Orange"", E169)), 3, ISNUMBER(SEARCH(""Yellow"", E169)), 10, ISNUMBER(SEARCH(""Ivory"", E169)), 21,TRUE, ""60"")), """")"),"")</f>
        <v/>
      </c>
      <c r="K169" s="27"/>
      <c r="L169" s="6"/>
      <c r="M169" s="6"/>
      <c r="N169" s="6"/>
      <c r="O169" s="6"/>
      <c r="P169" s="6"/>
    </row>
    <row r="170" ht="22.5" customHeight="1">
      <c r="A170" s="24"/>
      <c r="B170" s="25"/>
      <c r="C170" s="25"/>
      <c r="D170" s="25"/>
      <c r="E170" s="25"/>
      <c r="F170" s="25"/>
      <c r="G170" s="25"/>
      <c r="H170" s="25"/>
      <c r="I170" s="25"/>
      <c r="J170" s="26" t="str">
        <f>IFERROR(__xludf.DUMMYFUNCTION("IF(ISDATE(A170), DATE(YEAR(A170), MONTH(A170), DAY(A170)+ IFS(ISNUMBER(SEARCH(""Red"", E170)), 1, ISNUMBER(SEARCH(""Orange"", E170)), 3, ISNUMBER(SEARCH(""Yellow"", E170)), 10, ISNUMBER(SEARCH(""Ivory"", E170)), 21,TRUE, ""60"")), """")"),"")</f>
        <v/>
      </c>
      <c r="K170" s="27"/>
      <c r="L170" s="6"/>
      <c r="M170" s="6"/>
      <c r="N170" s="6"/>
      <c r="O170" s="6"/>
      <c r="P170" s="6"/>
    </row>
    <row r="171" ht="22.5" customHeight="1">
      <c r="A171" s="24"/>
      <c r="B171" s="25"/>
      <c r="C171" s="25"/>
      <c r="D171" s="25"/>
      <c r="E171" s="25"/>
      <c r="F171" s="25"/>
      <c r="G171" s="25"/>
      <c r="H171" s="25"/>
      <c r="I171" s="25"/>
      <c r="J171" s="26" t="str">
        <f>IFERROR(__xludf.DUMMYFUNCTION("IF(ISDATE(A171), DATE(YEAR(A171), MONTH(A171), DAY(A171)+ IFS(ISNUMBER(SEARCH(""Red"", E171)), 1, ISNUMBER(SEARCH(""Orange"", E171)), 3, ISNUMBER(SEARCH(""Yellow"", E171)), 10, ISNUMBER(SEARCH(""Ivory"", E171)), 21,TRUE, ""60"")), """")"),"")</f>
        <v/>
      </c>
      <c r="K171" s="27"/>
      <c r="L171" s="6"/>
      <c r="M171" s="6"/>
      <c r="N171" s="6"/>
      <c r="O171" s="6"/>
      <c r="P171" s="6"/>
    </row>
    <row r="172" ht="22.5" customHeight="1">
      <c r="A172" s="24"/>
      <c r="B172" s="25"/>
      <c r="C172" s="25"/>
      <c r="D172" s="25"/>
      <c r="E172" s="25"/>
      <c r="F172" s="25"/>
      <c r="G172" s="25"/>
      <c r="H172" s="25"/>
      <c r="I172" s="25"/>
      <c r="J172" s="26" t="str">
        <f>IFERROR(__xludf.DUMMYFUNCTION("IF(ISDATE(A172), DATE(YEAR(A172), MONTH(A172), DAY(A172)+ IFS(ISNUMBER(SEARCH(""Red"", E172)), 1, ISNUMBER(SEARCH(""Orange"", E172)), 3, ISNUMBER(SEARCH(""Yellow"", E172)), 10, ISNUMBER(SEARCH(""Ivory"", E172)), 21,TRUE, ""60"")), """")"),"")</f>
        <v/>
      </c>
      <c r="K172" s="27"/>
      <c r="L172" s="6"/>
      <c r="M172" s="6"/>
      <c r="N172" s="6"/>
      <c r="O172" s="6"/>
      <c r="P172" s="6"/>
    </row>
    <row r="173" ht="22.5" customHeight="1">
      <c r="A173" s="24"/>
      <c r="B173" s="25"/>
      <c r="C173" s="25"/>
      <c r="D173" s="25"/>
      <c r="E173" s="25"/>
      <c r="F173" s="25"/>
      <c r="G173" s="25"/>
      <c r="H173" s="25"/>
      <c r="I173" s="25"/>
      <c r="J173" s="26" t="str">
        <f>IFERROR(__xludf.DUMMYFUNCTION("IF(ISDATE(A173), DATE(YEAR(A173), MONTH(A173), DAY(A173)+ IFS(ISNUMBER(SEARCH(""Red"", E173)), 1, ISNUMBER(SEARCH(""Orange"", E173)), 3, ISNUMBER(SEARCH(""Yellow"", E173)), 10, ISNUMBER(SEARCH(""Ivory"", E173)), 21,TRUE, ""60"")), """")"),"")</f>
        <v/>
      </c>
      <c r="K173" s="27"/>
      <c r="L173" s="6"/>
      <c r="M173" s="6"/>
      <c r="N173" s="6"/>
      <c r="O173" s="6"/>
      <c r="P173" s="6"/>
    </row>
    <row r="174" ht="22.5" customHeight="1">
      <c r="A174" s="24"/>
      <c r="B174" s="25"/>
      <c r="C174" s="25"/>
      <c r="D174" s="25"/>
      <c r="E174" s="25"/>
      <c r="F174" s="25"/>
      <c r="G174" s="25"/>
      <c r="H174" s="25"/>
      <c r="I174" s="25"/>
      <c r="J174" s="26" t="str">
        <f>IFERROR(__xludf.DUMMYFUNCTION("IF(ISDATE(A174), DATE(YEAR(A174), MONTH(A174), DAY(A174)+ IFS(ISNUMBER(SEARCH(""Red"", E174)), 1, ISNUMBER(SEARCH(""Orange"", E174)), 3, ISNUMBER(SEARCH(""Yellow"", E174)), 10, ISNUMBER(SEARCH(""Ivory"", E174)), 21,TRUE, ""60"")), """")"),"")</f>
        <v/>
      </c>
      <c r="K174" s="27"/>
      <c r="L174" s="6"/>
      <c r="M174" s="6"/>
      <c r="N174" s="6"/>
      <c r="O174" s="6"/>
      <c r="P174" s="6"/>
    </row>
    <row r="175" ht="22.5" customHeight="1">
      <c r="A175" s="24"/>
      <c r="B175" s="25"/>
      <c r="C175" s="25"/>
      <c r="D175" s="25"/>
      <c r="E175" s="25"/>
      <c r="F175" s="25"/>
      <c r="G175" s="25"/>
      <c r="H175" s="25"/>
      <c r="I175" s="25"/>
      <c r="J175" s="26" t="str">
        <f>IFERROR(__xludf.DUMMYFUNCTION("IF(ISDATE(A175), DATE(YEAR(A175), MONTH(A175), DAY(A175)+ IFS(ISNUMBER(SEARCH(""Red"", E175)), 1, ISNUMBER(SEARCH(""Orange"", E175)), 3, ISNUMBER(SEARCH(""Yellow"", E175)), 10, ISNUMBER(SEARCH(""Ivory"", E175)), 21,TRUE, ""60"")), """")"),"")</f>
        <v/>
      </c>
      <c r="K175" s="27"/>
      <c r="L175" s="6"/>
      <c r="M175" s="6"/>
      <c r="N175" s="6"/>
      <c r="O175" s="6"/>
      <c r="P175" s="6"/>
    </row>
    <row r="176" ht="22.5" customHeight="1">
      <c r="A176" s="24"/>
      <c r="B176" s="25"/>
      <c r="C176" s="25"/>
      <c r="D176" s="25"/>
      <c r="E176" s="25"/>
      <c r="F176" s="25"/>
      <c r="G176" s="25"/>
      <c r="H176" s="25"/>
      <c r="I176" s="25"/>
      <c r="J176" s="26" t="str">
        <f>IFERROR(__xludf.DUMMYFUNCTION("IF(ISDATE(A176), DATE(YEAR(A176), MONTH(A176), DAY(A176)+ IFS(ISNUMBER(SEARCH(""Red"", E176)), 1, ISNUMBER(SEARCH(""Orange"", E176)), 3, ISNUMBER(SEARCH(""Yellow"", E176)), 10, ISNUMBER(SEARCH(""Ivory"", E176)), 21,TRUE, ""60"")), """")"),"")</f>
        <v/>
      </c>
      <c r="K176" s="27"/>
      <c r="L176" s="6"/>
      <c r="M176" s="6"/>
      <c r="N176" s="6"/>
      <c r="O176" s="6"/>
      <c r="P176" s="6"/>
    </row>
    <row r="177" ht="22.5" customHeight="1">
      <c r="A177" s="24"/>
      <c r="B177" s="25"/>
      <c r="C177" s="25"/>
      <c r="D177" s="25"/>
      <c r="E177" s="25"/>
      <c r="F177" s="25"/>
      <c r="G177" s="25"/>
      <c r="H177" s="25"/>
      <c r="I177" s="25"/>
      <c r="J177" s="26" t="str">
        <f>IFERROR(__xludf.DUMMYFUNCTION("IF(ISDATE(A177), DATE(YEAR(A177), MONTH(A177), DAY(A177)+ IFS(ISNUMBER(SEARCH(""Red"", E177)), 1, ISNUMBER(SEARCH(""Orange"", E177)), 3, ISNUMBER(SEARCH(""Yellow"", E177)), 10, ISNUMBER(SEARCH(""Ivory"", E177)), 21,TRUE, ""60"")), """")"),"")</f>
        <v/>
      </c>
      <c r="K177" s="27"/>
      <c r="L177" s="6"/>
      <c r="M177" s="6"/>
      <c r="N177" s="6"/>
      <c r="O177" s="6"/>
      <c r="P177" s="6"/>
    </row>
    <row r="178" ht="22.5" customHeight="1">
      <c r="A178" s="24"/>
      <c r="B178" s="25"/>
      <c r="C178" s="25"/>
      <c r="D178" s="25"/>
      <c r="E178" s="25"/>
      <c r="F178" s="25"/>
      <c r="G178" s="25"/>
      <c r="H178" s="25"/>
      <c r="I178" s="25"/>
      <c r="J178" s="26" t="str">
        <f>IFERROR(__xludf.DUMMYFUNCTION("IF(ISDATE(A178), DATE(YEAR(A178), MONTH(A178), DAY(A178)+ IFS(ISNUMBER(SEARCH(""Red"", E178)), 1, ISNUMBER(SEARCH(""Orange"", E178)), 3, ISNUMBER(SEARCH(""Yellow"", E178)), 10, ISNUMBER(SEARCH(""Ivory"", E178)), 21,TRUE, ""60"")), """")"),"")</f>
        <v/>
      </c>
      <c r="K178" s="27"/>
      <c r="L178" s="6"/>
      <c r="M178" s="6"/>
      <c r="N178" s="6"/>
      <c r="O178" s="6"/>
      <c r="P178" s="6"/>
    </row>
    <row r="179" ht="22.5" customHeight="1">
      <c r="A179" s="24"/>
      <c r="B179" s="25"/>
      <c r="C179" s="25"/>
      <c r="D179" s="25"/>
      <c r="E179" s="25"/>
      <c r="F179" s="25"/>
      <c r="G179" s="25"/>
      <c r="H179" s="25"/>
      <c r="I179" s="25"/>
      <c r="J179" s="26" t="str">
        <f>IFERROR(__xludf.DUMMYFUNCTION("IF(ISDATE(A179), DATE(YEAR(A179), MONTH(A179), DAY(A179)+ IFS(ISNUMBER(SEARCH(""Red"", E179)), 1, ISNUMBER(SEARCH(""Orange"", E179)), 3, ISNUMBER(SEARCH(""Yellow"", E179)), 10, ISNUMBER(SEARCH(""Ivory"", E179)), 21,TRUE, ""60"")), """")"),"")</f>
        <v/>
      </c>
      <c r="K179" s="27"/>
      <c r="L179" s="6"/>
      <c r="M179" s="6"/>
      <c r="N179" s="6"/>
      <c r="O179" s="6"/>
      <c r="P179" s="6"/>
    </row>
    <row r="180" ht="22.5" customHeight="1">
      <c r="A180" s="24"/>
      <c r="B180" s="25"/>
      <c r="C180" s="25"/>
      <c r="D180" s="25"/>
      <c r="E180" s="25"/>
      <c r="F180" s="25"/>
      <c r="G180" s="25"/>
      <c r="H180" s="25"/>
      <c r="I180" s="25"/>
      <c r="J180" s="26" t="str">
        <f>IFERROR(__xludf.DUMMYFUNCTION("IF(ISDATE(A180), DATE(YEAR(A180), MONTH(A180), DAY(A180)+ IFS(ISNUMBER(SEARCH(""Red"", E180)), 1, ISNUMBER(SEARCH(""Orange"", E180)), 3, ISNUMBER(SEARCH(""Yellow"", E180)), 10, ISNUMBER(SEARCH(""Ivory"", E180)), 21,TRUE, ""60"")), """")"),"")</f>
        <v/>
      </c>
      <c r="K180" s="27"/>
      <c r="L180" s="6"/>
      <c r="M180" s="6"/>
      <c r="N180" s="6"/>
      <c r="O180" s="6"/>
      <c r="P180" s="6"/>
    </row>
    <row r="181" ht="22.5" customHeight="1">
      <c r="A181" s="24"/>
      <c r="B181" s="25"/>
      <c r="C181" s="25"/>
      <c r="D181" s="25"/>
      <c r="E181" s="25"/>
      <c r="F181" s="25"/>
      <c r="G181" s="25"/>
      <c r="H181" s="25"/>
      <c r="I181" s="25"/>
      <c r="J181" s="26" t="str">
        <f>IFERROR(__xludf.DUMMYFUNCTION("IF(ISDATE(A181), DATE(YEAR(A181), MONTH(A181), DAY(A181)+ IFS(ISNUMBER(SEARCH(""Red"", E181)), 1, ISNUMBER(SEARCH(""Orange"", E181)), 3, ISNUMBER(SEARCH(""Yellow"", E181)), 10, ISNUMBER(SEARCH(""Ivory"", E181)), 21,TRUE, ""60"")), """")"),"")</f>
        <v/>
      </c>
      <c r="K181" s="27"/>
      <c r="L181" s="6"/>
      <c r="M181" s="6"/>
      <c r="N181" s="6"/>
      <c r="O181" s="6"/>
      <c r="P181" s="6"/>
    </row>
    <row r="182" ht="22.5" customHeight="1">
      <c r="A182" s="24"/>
      <c r="B182" s="25"/>
      <c r="C182" s="25"/>
      <c r="D182" s="25"/>
      <c r="E182" s="25"/>
      <c r="F182" s="25"/>
      <c r="G182" s="25"/>
      <c r="H182" s="25"/>
      <c r="I182" s="25"/>
      <c r="J182" s="26" t="str">
        <f>IFERROR(__xludf.DUMMYFUNCTION("IF(ISDATE(A182), DATE(YEAR(A182), MONTH(A182), DAY(A182)+ IFS(ISNUMBER(SEARCH(""Red"", E182)), 1, ISNUMBER(SEARCH(""Orange"", E182)), 3, ISNUMBER(SEARCH(""Yellow"", E182)), 10, ISNUMBER(SEARCH(""Ivory"", E182)), 21,TRUE, ""60"")), """")"),"")</f>
        <v/>
      </c>
      <c r="K182" s="27"/>
      <c r="L182" s="6"/>
      <c r="M182" s="6"/>
      <c r="N182" s="6"/>
      <c r="O182" s="6"/>
      <c r="P182" s="6"/>
    </row>
    <row r="183" ht="22.5" customHeight="1">
      <c r="A183" s="24"/>
      <c r="B183" s="25"/>
      <c r="C183" s="25"/>
      <c r="D183" s="25"/>
      <c r="E183" s="25"/>
      <c r="F183" s="25"/>
      <c r="G183" s="25"/>
      <c r="H183" s="25"/>
      <c r="I183" s="25"/>
      <c r="J183" s="26" t="str">
        <f>IFERROR(__xludf.DUMMYFUNCTION("IF(ISDATE(A183), DATE(YEAR(A183), MONTH(A183), DAY(A183)+ IFS(ISNUMBER(SEARCH(""Red"", E183)), 1, ISNUMBER(SEARCH(""Orange"", E183)), 3, ISNUMBER(SEARCH(""Yellow"", E183)), 10, ISNUMBER(SEARCH(""Ivory"", E183)), 21,TRUE, ""60"")), """")"),"")</f>
        <v/>
      </c>
      <c r="K183" s="27"/>
      <c r="L183" s="6"/>
      <c r="M183" s="6"/>
      <c r="N183" s="6"/>
      <c r="O183" s="6"/>
      <c r="P183" s="6"/>
    </row>
    <row r="184" ht="22.5" customHeight="1">
      <c r="A184" s="24"/>
      <c r="B184" s="25"/>
      <c r="C184" s="25"/>
      <c r="D184" s="25"/>
      <c r="E184" s="25"/>
      <c r="F184" s="25"/>
      <c r="G184" s="25"/>
      <c r="H184" s="25"/>
      <c r="I184" s="25"/>
      <c r="J184" s="26" t="str">
        <f>IFERROR(__xludf.DUMMYFUNCTION("IF(ISDATE(A184), DATE(YEAR(A184), MONTH(A184), DAY(A184)+ IFS(ISNUMBER(SEARCH(""Red"", E184)), 1, ISNUMBER(SEARCH(""Orange"", E184)), 3, ISNUMBER(SEARCH(""Yellow"", E184)), 10, ISNUMBER(SEARCH(""Ivory"", E184)), 21,TRUE, ""60"")), """")"),"")</f>
        <v/>
      </c>
      <c r="K184" s="27"/>
      <c r="L184" s="6"/>
      <c r="M184" s="6"/>
      <c r="N184" s="6"/>
      <c r="O184" s="6"/>
      <c r="P184" s="6"/>
    </row>
    <row r="185" ht="22.5" customHeight="1">
      <c r="A185" s="24"/>
      <c r="B185" s="25"/>
      <c r="C185" s="25"/>
      <c r="D185" s="25"/>
      <c r="E185" s="25"/>
      <c r="F185" s="25"/>
      <c r="G185" s="25"/>
      <c r="H185" s="25"/>
      <c r="I185" s="25"/>
      <c r="J185" s="26" t="str">
        <f>IFERROR(__xludf.DUMMYFUNCTION("IF(ISDATE(A185), DATE(YEAR(A185), MONTH(A185), DAY(A185)+ IFS(ISNUMBER(SEARCH(""Red"", E185)), 1, ISNUMBER(SEARCH(""Orange"", E185)), 3, ISNUMBER(SEARCH(""Yellow"", E185)), 10, ISNUMBER(SEARCH(""Ivory"", E185)), 21,TRUE, ""60"")), """")"),"")</f>
        <v/>
      </c>
      <c r="K185" s="27"/>
      <c r="L185" s="6"/>
      <c r="M185" s="6"/>
      <c r="N185" s="6"/>
      <c r="O185" s="6"/>
      <c r="P185" s="6"/>
    </row>
    <row r="186" ht="22.5" customHeight="1">
      <c r="A186" s="24"/>
      <c r="B186" s="25"/>
      <c r="C186" s="25"/>
      <c r="D186" s="25"/>
      <c r="E186" s="25"/>
      <c r="F186" s="25"/>
      <c r="G186" s="25"/>
      <c r="H186" s="25"/>
      <c r="I186" s="25"/>
      <c r="J186" s="26" t="str">
        <f>IFERROR(__xludf.DUMMYFUNCTION("IF(ISDATE(A186), DATE(YEAR(A186), MONTH(A186), DAY(A186)+ IFS(ISNUMBER(SEARCH(""Red"", E186)), 1, ISNUMBER(SEARCH(""Orange"", E186)), 3, ISNUMBER(SEARCH(""Yellow"", E186)), 10, ISNUMBER(SEARCH(""Ivory"", E186)), 21,TRUE, ""60"")), """")"),"")</f>
        <v/>
      </c>
      <c r="K186" s="27"/>
      <c r="L186" s="6"/>
      <c r="M186" s="6"/>
      <c r="N186" s="6"/>
      <c r="O186" s="6"/>
      <c r="P186" s="6"/>
    </row>
    <row r="187" ht="22.5" customHeight="1">
      <c r="A187" s="24"/>
      <c r="B187" s="25"/>
      <c r="C187" s="25"/>
      <c r="D187" s="25"/>
      <c r="E187" s="25"/>
      <c r="F187" s="25"/>
      <c r="G187" s="25"/>
      <c r="H187" s="25"/>
      <c r="I187" s="25"/>
      <c r="J187" s="26" t="str">
        <f>IFERROR(__xludf.DUMMYFUNCTION("IF(ISDATE(A187), DATE(YEAR(A187), MONTH(A187), DAY(A187)+ IFS(ISNUMBER(SEARCH(""Red"", E187)), 1, ISNUMBER(SEARCH(""Orange"", E187)), 3, ISNUMBER(SEARCH(""Yellow"", E187)), 10, ISNUMBER(SEARCH(""Ivory"", E187)), 21,TRUE, ""60"")), """")"),"")</f>
        <v/>
      </c>
      <c r="K187" s="27"/>
      <c r="L187" s="6"/>
      <c r="M187" s="6"/>
      <c r="N187" s="6"/>
      <c r="O187" s="6"/>
      <c r="P187" s="6"/>
    </row>
    <row r="188" ht="22.5" customHeight="1">
      <c r="A188" s="24"/>
      <c r="B188" s="25"/>
      <c r="C188" s="25"/>
      <c r="D188" s="25"/>
      <c r="E188" s="25"/>
      <c r="F188" s="25"/>
      <c r="G188" s="25"/>
      <c r="H188" s="25"/>
      <c r="I188" s="25"/>
      <c r="J188" s="26" t="str">
        <f>IFERROR(__xludf.DUMMYFUNCTION("IF(ISDATE(A188), DATE(YEAR(A188), MONTH(A188), DAY(A188)+ IFS(ISNUMBER(SEARCH(""Red"", E188)), 1, ISNUMBER(SEARCH(""Orange"", E188)), 3, ISNUMBER(SEARCH(""Yellow"", E188)), 10, ISNUMBER(SEARCH(""Ivory"", E188)), 21,TRUE, ""60"")), """")"),"")</f>
        <v/>
      </c>
      <c r="K188" s="27"/>
      <c r="L188" s="6"/>
      <c r="M188" s="6"/>
      <c r="N188" s="6"/>
      <c r="O188" s="6"/>
      <c r="P188" s="6"/>
    </row>
    <row r="189" ht="22.5" customHeight="1">
      <c r="A189" s="24"/>
      <c r="B189" s="25"/>
      <c r="C189" s="25"/>
      <c r="D189" s="25"/>
      <c r="E189" s="25"/>
      <c r="F189" s="25"/>
      <c r="G189" s="25"/>
      <c r="H189" s="25"/>
      <c r="I189" s="25"/>
      <c r="J189" s="26" t="str">
        <f>IFERROR(__xludf.DUMMYFUNCTION("IF(ISDATE(A189), DATE(YEAR(A189), MONTH(A189), DAY(A189)+ IFS(ISNUMBER(SEARCH(""Red"", E189)), 1, ISNUMBER(SEARCH(""Orange"", E189)), 3, ISNUMBER(SEARCH(""Yellow"", E189)), 10, ISNUMBER(SEARCH(""Ivory"", E189)), 21,TRUE, ""60"")), """")"),"")</f>
        <v/>
      </c>
      <c r="K189" s="27"/>
      <c r="L189" s="6"/>
      <c r="M189" s="6"/>
      <c r="N189" s="6"/>
      <c r="O189" s="6"/>
      <c r="P189" s="6"/>
    </row>
    <row r="190" ht="22.5" customHeight="1">
      <c r="A190" s="24"/>
      <c r="B190" s="25"/>
      <c r="C190" s="25"/>
      <c r="D190" s="25"/>
      <c r="E190" s="25"/>
      <c r="F190" s="25"/>
      <c r="G190" s="25"/>
      <c r="H190" s="25"/>
      <c r="I190" s="25"/>
      <c r="J190" s="26" t="str">
        <f>IFERROR(__xludf.DUMMYFUNCTION("IF(ISDATE(A190), DATE(YEAR(A190), MONTH(A190), DAY(A190)+ IFS(ISNUMBER(SEARCH(""Red"", E190)), 1, ISNUMBER(SEARCH(""Orange"", E190)), 3, ISNUMBER(SEARCH(""Yellow"", E190)), 10, ISNUMBER(SEARCH(""Ivory"", E190)), 21,TRUE, ""60"")), """")"),"")</f>
        <v/>
      </c>
      <c r="K190" s="27"/>
      <c r="L190" s="6"/>
      <c r="M190" s="6"/>
      <c r="N190" s="6"/>
      <c r="O190" s="6"/>
      <c r="P190" s="6"/>
    </row>
    <row r="191" ht="22.5" customHeight="1">
      <c r="A191" s="24"/>
      <c r="B191" s="25"/>
      <c r="C191" s="25"/>
      <c r="D191" s="25"/>
      <c r="E191" s="25"/>
      <c r="F191" s="25"/>
      <c r="G191" s="25"/>
      <c r="H191" s="25"/>
      <c r="I191" s="25"/>
      <c r="J191" s="26" t="str">
        <f>IFERROR(__xludf.DUMMYFUNCTION("IF(ISDATE(A191), DATE(YEAR(A191), MONTH(A191), DAY(A191)+ IFS(ISNUMBER(SEARCH(""Red"", E191)), 1, ISNUMBER(SEARCH(""Orange"", E191)), 3, ISNUMBER(SEARCH(""Yellow"", E191)), 10, ISNUMBER(SEARCH(""Ivory"", E191)), 21,TRUE, ""60"")), """")"),"")</f>
        <v/>
      </c>
      <c r="K191" s="27"/>
      <c r="L191" s="6"/>
      <c r="M191" s="6"/>
      <c r="N191" s="6"/>
      <c r="O191" s="6"/>
      <c r="P191" s="6"/>
    </row>
    <row r="192" ht="22.5" customHeight="1">
      <c r="A192" s="24"/>
      <c r="B192" s="25"/>
      <c r="C192" s="25"/>
      <c r="D192" s="25"/>
      <c r="E192" s="25"/>
      <c r="F192" s="25"/>
      <c r="G192" s="25"/>
      <c r="H192" s="25"/>
      <c r="I192" s="25"/>
      <c r="J192" s="26" t="str">
        <f>IFERROR(__xludf.DUMMYFUNCTION("IF(ISDATE(A192), DATE(YEAR(A192), MONTH(A192), DAY(A192)+ IFS(ISNUMBER(SEARCH(""Red"", E192)), 1, ISNUMBER(SEARCH(""Orange"", E192)), 3, ISNUMBER(SEARCH(""Yellow"", E192)), 10, ISNUMBER(SEARCH(""Ivory"", E192)), 21,TRUE, ""60"")), """")"),"")</f>
        <v/>
      </c>
      <c r="K192" s="27"/>
      <c r="L192" s="6"/>
      <c r="M192" s="6"/>
      <c r="N192" s="6"/>
      <c r="O192" s="6"/>
      <c r="P192" s="6"/>
    </row>
    <row r="193" ht="22.5" customHeight="1">
      <c r="A193" s="24"/>
      <c r="B193" s="25"/>
      <c r="C193" s="25"/>
      <c r="D193" s="25"/>
      <c r="E193" s="25"/>
      <c r="F193" s="25"/>
      <c r="G193" s="25"/>
      <c r="H193" s="25"/>
      <c r="I193" s="25"/>
      <c r="J193" s="26" t="str">
        <f>IFERROR(__xludf.DUMMYFUNCTION("IF(ISDATE(A193), DATE(YEAR(A193), MONTH(A193), DAY(A193)+ IFS(ISNUMBER(SEARCH(""Red"", E193)), 1, ISNUMBER(SEARCH(""Orange"", E193)), 3, ISNUMBER(SEARCH(""Yellow"", E193)), 10, ISNUMBER(SEARCH(""Ivory"", E193)), 21,TRUE, ""60"")), """")"),"")</f>
        <v/>
      </c>
      <c r="K193" s="27"/>
      <c r="L193" s="6"/>
      <c r="M193" s="6"/>
      <c r="N193" s="6"/>
      <c r="O193" s="6"/>
      <c r="P193" s="6"/>
    </row>
    <row r="194" ht="22.5" customHeight="1">
      <c r="A194" s="24"/>
      <c r="B194" s="25"/>
      <c r="C194" s="25"/>
      <c r="D194" s="25"/>
      <c r="E194" s="25"/>
      <c r="F194" s="25"/>
      <c r="G194" s="25"/>
      <c r="H194" s="25"/>
      <c r="I194" s="25"/>
      <c r="J194" s="26" t="str">
        <f>IFERROR(__xludf.DUMMYFUNCTION("IF(ISDATE(A194), DATE(YEAR(A194), MONTH(A194), DAY(A194)+ IFS(ISNUMBER(SEARCH(""Red"", E194)), 1, ISNUMBER(SEARCH(""Orange"", E194)), 3, ISNUMBER(SEARCH(""Yellow"", E194)), 10, ISNUMBER(SEARCH(""Ivory"", E194)), 21,TRUE, ""60"")), """")"),"")</f>
        <v/>
      </c>
      <c r="K194" s="27"/>
      <c r="L194" s="6"/>
      <c r="M194" s="6"/>
      <c r="N194" s="6"/>
      <c r="O194" s="6"/>
      <c r="P194" s="6"/>
    </row>
    <row r="195" ht="22.5" customHeight="1">
      <c r="A195" s="24"/>
      <c r="B195" s="25"/>
      <c r="C195" s="25"/>
      <c r="D195" s="25"/>
      <c r="E195" s="25"/>
      <c r="F195" s="25"/>
      <c r="G195" s="25"/>
      <c r="H195" s="25"/>
      <c r="I195" s="25"/>
      <c r="J195" s="26" t="str">
        <f>IFERROR(__xludf.DUMMYFUNCTION("IF(ISDATE(A195), DATE(YEAR(A195), MONTH(A195), DAY(A195)+ IFS(ISNUMBER(SEARCH(""Red"", E195)), 1, ISNUMBER(SEARCH(""Orange"", E195)), 3, ISNUMBER(SEARCH(""Yellow"", E195)), 10, ISNUMBER(SEARCH(""Ivory"", E195)), 21,TRUE, ""60"")), """")"),"")</f>
        <v/>
      </c>
      <c r="K195" s="27"/>
      <c r="L195" s="6"/>
      <c r="M195" s="6"/>
      <c r="N195" s="6"/>
      <c r="O195" s="6"/>
      <c r="P195" s="6"/>
    </row>
    <row r="196" ht="22.5" customHeight="1">
      <c r="A196" s="24"/>
      <c r="B196" s="25"/>
      <c r="C196" s="25"/>
      <c r="D196" s="25"/>
      <c r="E196" s="25"/>
      <c r="F196" s="25"/>
      <c r="G196" s="25"/>
      <c r="H196" s="25"/>
      <c r="I196" s="25"/>
      <c r="J196" s="26" t="str">
        <f>IFERROR(__xludf.DUMMYFUNCTION("IF(ISDATE(A196), DATE(YEAR(A196), MONTH(A196), DAY(A196)+ IFS(ISNUMBER(SEARCH(""Red"", E196)), 1, ISNUMBER(SEARCH(""Orange"", E196)), 3, ISNUMBER(SEARCH(""Yellow"", E196)), 10, ISNUMBER(SEARCH(""Ivory"", E196)), 21,TRUE, ""60"")), """")"),"")</f>
        <v/>
      </c>
      <c r="K196" s="27"/>
      <c r="L196" s="6"/>
      <c r="M196" s="6"/>
      <c r="N196" s="6"/>
      <c r="O196" s="6"/>
      <c r="P196" s="6"/>
    </row>
    <row r="197" ht="22.5" customHeight="1">
      <c r="A197" s="24"/>
      <c r="B197" s="25"/>
      <c r="C197" s="25"/>
      <c r="D197" s="25"/>
      <c r="E197" s="25"/>
      <c r="F197" s="25"/>
      <c r="G197" s="25"/>
      <c r="H197" s="25"/>
      <c r="I197" s="25"/>
      <c r="J197" s="26" t="str">
        <f>IFERROR(__xludf.DUMMYFUNCTION("IF(ISDATE(A197), DATE(YEAR(A197), MONTH(A197), DAY(A197)+ IFS(ISNUMBER(SEARCH(""Red"", E197)), 1, ISNUMBER(SEARCH(""Orange"", E197)), 3, ISNUMBER(SEARCH(""Yellow"", E197)), 10, ISNUMBER(SEARCH(""Ivory"", E197)), 21,TRUE, ""60"")), """")"),"")</f>
        <v/>
      </c>
      <c r="K197" s="27"/>
      <c r="L197" s="6"/>
      <c r="M197" s="6"/>
      <c r="N197" s="6"/>
      <c r="O197" s="6"/>
      <c r="P197" s="6"/>
    </row>
    <row r="198" ht="22.5" customHeight="1">
      <c r="A198" s="24"/>
      <c r="B198" s="25"/>
      <c r="C198" s="25"/>
      <c r="D198" s="25"/>
      <c r="E198" s="25"/>
      <c r="F198" s="25"/>
      <c r="G198" s="25"/>
      <c r="H198" s="25"/>
      <c r="I198" s="25"/>
      <c r="J198" s="26" t="str">
        <f>IFERROR(__xludf.DUMMYFUNCTION("IF(ISDATE(A198), DATE(YEAR(A198), MONTH(A198), DAY(A198)+ IFS(ISNUMBER(SEARCH(""Red"", E198)), 1, ISNUMBER(SEARCH(""Orange"", E198)), 3, ISNUMBER(SEARCH(""Yellow"", E198)), 10, ISNUMBER(SEARCH(""Ivory"", E198)), 21,TRUE, ""60"")), """")"),"")</f>
        <v/>
      </c>
      <c r="K198" s="27"/>
      <c r="L198" s="6"/>
      <c r="M198" s="6"/>
      <c r="N198" s="6"/>
      <c r="O198" s="6"/>
      <c r="P198" s="6"/>
    </row>
    <row r="199" ht="22.5" customHeight="1">
      <c r="A199" s="24"/>
      <c r="B199" s="25"/>
      <c r="C199" s="25"/>
      <c r="D199" s="25"/>
      <c r="E199" s="25"/>
      <c r="F199" s="25"/>
      <c r="G199" s="25"/>
      <c r="H199" s="25"/>
      <c r="I199" s="25"/>
      <c r="J199" s="26" t="str">
        <f>IFERROR(__xludf.DUMMYFUNCTION("IF(ISDATE(A199), DATE(YEAR(A199), MONTH(A199), DAY(A199)+ IFS(ISNUMBER(SEARCH(""Red"", E199)), 1, ISNUMBER(SEARCH(""Orange"", E199)), 3, ISNUMBER(SEARCH(""Yellow"", E199)), 10, ISNUMBER(SEARCH(""Ivory"", E199)), 21,TRUE, ""60"")), """")"),"")</f>
        <v/>
      </c>
      <c r="K199" s="27"/>
      <c r="L199" s="6"/>
      <c r="M199" s="6"/>
      <c r="N199" s="6"/>
      <c r="O199" s="6"/>
      <c r="P199" s="6"/>
    </row>
    <row r="200" ht="22.5" customHeight="1">
      <c r="A200" s="24"/>
      <c r="B200" s="25"/>
      <c r="C200" s="25"/>
      <c r="D200" s="25"/>
      <c r="E200" s="25"/>
      <c r="F200" s="25"/>
      <c r="G200" s="25"/>
      <c r="H200" s="25"/>
      <c r="I200" s="25"/>
      <c r="J200" s="26" t="str">
        <f>IFERROR(__xludf.DUMMYFUNCTION("IF(ISDATE(A200), DATE(YEAR(A200), MONTH(A200), DAY(A200)+ IFS(ISNUMBER(SEARCH(""Red"", E200)), 1, ISNUMBER(SEARCH(""Orange"", E200)), 3, ISNUMBER(SEARCH(""Yellow"", E200)), 10, ISNUMBER(SEARCH(""Ivory"", E200)), 21,TRUE, ""60"")), """")"),"")</f>
        <v/>
      </c>
      <c r="K200" s="27"/>
      <c r="L200" s="6"/>
      <c r="M200" s="6"/>
      <c r="N200" s="6"/>
      <c r="O200" s="6"/>
      <c r="P200" s="6"/>
    </row>
    <row r="201" ht="22.5" customHeight="1">
      <c r="A201" s="24"/>
      <c r="B201" s="25"/>
      <c r="C201" s="25"/>
      <c r="D201" s="25"/>
      <c r="E201" s="25"/>
      <c r="F201" s="25"/>
      <c r="G201" s="25"/>
      <c r="H201" s="25"/>
      <c r="I201" s="25"/>
      <c r="J201" s="26" t="str">
        <f>IFERROR(__xludf.DUMMYFUNCTION("IF(ISDATE(A201), DATE(YEAR(A201), MONTH(A201), DAY(A201)+ IFS(ISNUMBER(SEARCH(""Red"", E201)), 1, ISNUMBER(SEARCH(""Orange"", E201)), 3, ISNUMBER(SEARCH(""Yellow"", E201)), 10, ISNUMBER(SEARCH(""Ivory"", E201)), 21,TRUE, ""60"")), """")"),"")</f>
        <v/>
      </c>
      <c r="K201" s="27"/>
      <c r="L201" s="6"/>
      <c r="M201" s="6"/>
      <c r="N201" s="6"/>
      <c r="O201" s="6"/>
      <c r="P201" s="6"/>
    </row>
    <row r="202" ht="22.5" customHeight="1">
      <c r="A202" s="24"/>
      <c r="B202" s="25"/>
      <c r="C202" s="25"/>
      <c r="D202" s="25"/>
      <c r="E202" s="25"/>
      <c r="F202" s="25"/>
      <c r="G202" s="25"/>
      <c r="H202" s="25"/>
      <c r="I202" s="25"/>
      <c r="J202" s="26" t="str">
        <f>IFERROR(__xludf.DUMMYFUNCTION("IF(ISDATE(A202), DATE(YEAR(A202), MONTH(A202), DAY(A202)+ IFS(ISNUMBER(SEARCH(""Red"", E202)), 1, ISNUMBER(SEARCH(""Orange"", E202)), 3, ISNUMBER(SEARCH(""Yellow"", E202)), 10, ISNUMBER(SEARCH(""Ivory"", E202)), 21,TRUE, ""60"")), """")"),"")</f>
        <v/>
      </c>
      <c r="K202" s="27"/>
      <c r="L202" s="6"/>
      <c r="M202" s="6"/>
      <c r="N202" s="6"/>
      <c r="O202" s="6"/>
      <c r="P202" s="6"/>
    </row>
    <row r="203" ht="22.5" customHeight="1">
      <c r="A203" s="24"/>
      <c r="B203" s="25"/>
      <c r="C203" s="25"/>
      <c r="D203" s="25"/>
      <c r="E203" s="25"/>
      <c r="F203" s="25"/>
      <c r="G203" s="25"/>
      <c r="H203" s="25"/>
      <c r="I203" s="25"/>
      <c r="J203" s="26" t="str">
        <f>IFERROR(__xludf.DUMMYFUNCTION("IF(ISDATE(A203), DATE(YEAR(A203), MONTH(A203), DAY(A203)+ IFS(ISNUMBER(SEARCH(""Red"", E203)), 1, ISNUMBER(SEARCH(""Orange"", E203)), 3, ISNUMBER(SEARCH(""Yellow"", E203)), 10, ISNUMBER(SEARCH(""Ivory"", E203)), 21,TRUE, ""60"")), """")"),"")</f>
        <v/>
      </c>
      <c r="K203" s="27"/>
      <c r="L203" s="6"/>
      <c r="M203" s="6"/>
      <c r="N203" s="6"/>
      <c r="O203" s="6"/>
      <c r="P203" s="6"/>
    </row>
    <row r="204" ht="22.5" customHeight="1">
      <c r="A204" s="24"/>
      <c r="B204" s="25"/>
      <c r="C204" s="25"/>
      <c r="D204" s="25"/>
      <c r="E204" s="25"/>
      <c r="F204" s="25"/>
      <c r="G204" s="25"/>
      <c r="H204" s="25"/>
      <c r="I204" s="25"/>
      <c r="J204" s="26" t="str">
        <f>IFERROR(__xludf.DUMMYFUNCTION("IF(ISDATE(A204), DATE(YEAR(A204), MONTH(A204), DAY(A204)+ IFS(ISNUMBER(SEARCH(""Red"", E204)), 1, ISNUMBER(SEARCH(""Orange"", E204)), 3, ISNUMBER(SEARCH(""Yellow"", E204)), 10, ISNUMBER(SEARCH(""Ivory"", E204)), 21,TRUE, ""60"")), """")"),"")</f>
        <v/>
      </c>
      <c r="K204" s="27"/>
      <c r="L204" s="6"/>
      <c r="M204" s="6"/>
      <c r="N204" s="6"/>
      <c r="O204" s="6"/>
      <c r="P204" s="6"/>
    </row>
  </sheetData>
  <conditionalFormatting sqref="A2:I203 J2:J204 K2:K203">
    <cfRule type="expression" dxfId="5" priority="1">
      <formula>SEARCH("Red -", $E2)</formula>
    </cfRule>
  </conditionalFormatting>
  <conditionalFormatting sqref="A2:I203 J2:J204 K2:K203">
    <cfRule type="expression" dxfId="6" priority="2">
      <formula>SEARCH("Orange -", $E2)</formula>
    </cfRule>
  </conditionalFormatting>
  <conditionalFormatting sqref="A2:I203 J2:J204 K2:K203">
    <cfRule type="expression" dxfId="7" priority="3">
      <formula>SEARCH("Yellow -", $E2)</formula>
    </cfRule>
  </conditionalFormatting>
  <conditionalFormatting sqref="A2:I203 J2:J204 K2:K203">
    <cfRule type="expression" dxfId="8" priority="4">
      <formula>SEARCH("Ivory -", $E2)</formula>
    </cfRule>
  </conditionalFormatting>
  <conditionalFormatting sqref="A2:I203 J2:J204 K2:K203">
    <cfRule type="expression" dxfId="9" priority="5">
      <formula>SEARCH("Purple -", $E2)</formula>
    </cfRule>
  </conditionalFormatting>
  <dataValidations>
    <dataValidation type="custom" allowBlank="1" showDropDown="1" sqref="K2:K204">
      <formula1>OR(NOT(ISERROR(DATEVALUE(K2))), AND(ISNUMBER(K2), LEFT(CELL("format", K2))="D"))</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0"/>
    <hyperlink r:id="rId19" ref="F21"/>
    <hyperlink r:id="rId20" ref="F22"/>
    <hyperlink r:id="rId21" ref="F24"/>
    <hyperlink r:id="rId22" ref="F25"/>
    <hyperlink r:id="rId23" ref="F26"/>
    <hyperlink r:id="rId24" ref="F27"/>
    <hyperlink r:id="rId25" ref="F29"/>
    <hyperlink r:id="rId26" ref="F30"/>
    <hyperlink r:id="rId27" ref="F31"/>
    <hyperlink r:id="rId28" ref="F32"/>
    <hyperlink r:id="rId29" ref="F33"/>
    <hyperlink r:id="rId30" ref="F34"/>
    <hyperlink r:id="rId31" ref="F35"/>
    <hyperlink r:id="rId32" ref="F36"/>
    <hyperlink r:id="rId33" ref="F37"/>
    <hyperlink r:id="rId34" ref="F38"/>
    <hyperlink r:id="rId35" ref="F39"/>
    <hyperlink r:id="rId36" ref="F40"/>
    <hyperlink r:id="rId37" ref="F41"/>
    <hyperlink r:id="rId38" ref="F44"/>
    <hyperlink r:id="rId39" ref="F45"/>
    <hyperlink r:id="rId40" ref="F46"/>
    <hyperlink r:id="rId41" ref="F49"/>
    <hyperlink r:id="rId42" ref="F50"/>
    <hyperlink r:id="rId43" ref="F51"/>
    <hyperlink r:id="rId44" ref="F52"/>
    <hyperlink r:id="rId45" ref="F53"/>
    <hyperlink r:id="rId46" ref="F54"/>
    <hyperlink r:id="rId47" ref="F55"/>
    <hyperlink r:id="rId48" ref="F56"/>
    <hyperlink r:id="rId49" ref="F57"/>
    <hyperlink r:id="rId50" ref="F58"/>
    <hyperlink r:id="rId51" ref="F59"/>
    <hyperlink r:id="rId52" ref="F60"/>
    <hyperlink r:id="rId53" ref="F61"/>
    <hyperlink r:id="rId54" ref="F62"/>
    <hyperlink r:id="rId55" ref="F63"/>
    <hyperlink r:id="rId56" ref="F64"/>
    <hyperlink r:id="rId57" ref="F65"/>
    <hyperlink r:id="rId58" ref="F66"/>
    <hyperlink r:id="rId59" ref="F67"/>
    <hyperlink r:id="rId60" ref="F68"/>
    <hyperlink r:id="rId61" ref="F69"/>
    <hyperlink r:id="rId62" ref="F70"/>
    <hyperlink r:id="rId63" ref="F71"/>
    <hyperlink r:id="rId64" ref="F72"/>
    <hyperlink r:id="rId65" ref="F73"/>
    <hyperlink r:id="rId66" ref="F74"/>
    <hyperlink r:id="rId67" ref="F75"/>
    <hyperlink r:id="rId68" ref="F76"/>
    <hyperlink r:id="rId69" ref="F77"/>
    <hyperlink r:id="rId70" ref="F78"/>
    <hyperlink r:id="rId71" ref="F81"/>
    <hyperlink r:id="rId72" ref="F82"/>
    <hyperlink r:id="rId73" ref="F83"/>
    <hyperlink r:id="rId74" ref="F84"/>
    <hyperlink r:id="rId75" ref="F85"/>
    <hyperlink r:id="rId76" ref="F87"/>
    <hyperlink r:id="rId77" ref="F88"/>
    <hyperlink r:id="rId78" ref="F89"/>
    <hyperlink r:id="rId79" ref="F90"/>
    <hyperlink r:id="rId80" ref="F91"/>
    <hyperlink r:id="rId81" ref="F92"/>
    <hyperlink r:id="rId82" ref="F93"/>
    <hyperlink r:id="rId83" ref="F94"/>
    <hyperlink r:id="rId84" ref="F95"/>
    <hyperlink r:id="rId85" ref="F96"/>
    <hyperlink r:id="rId86" ref="F97"/>
    <hyperlink r:id="rId87" ref="F98"/>
    <hyperlink r:id="rId88" ref="F99"/>
    <hyperlink r:id="rId89" ref="F100"/>
    <hyperlink r:id="rId90" ref="F101"/>
    <hyperlink r:id="rId91" ref="F102"/>
    <hyperlink r:id="rId92" ref="F103"/>
    <hyperlink r:id="rId93" ref="F104"/>
  </hyperlinks>
  <drawing r:id="rId94"/>
  <tableParts count="1">
    <tablePart r:id="rId9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hidden="1" min="2" max="2" width="17.0"/>
    <col customWidth="1" min="3" max="3" width="13.63"/>
    <col customWidth="1" min="4" max="4" width="49.5"/>
    <col customWidth="1" min="5" max="5" width="22.13"/>
    <col customWidth="1" min="6" max="6" width="5.13"/>
    <col customWidth="1" min="7" max="7" width="20.38"/>
    <col customWidth="1" min="8" max="8" width="62.0"/>
  </cols>
  <sheetData>
    <row r="1" ht="32.25" customHeight="1">
      <c r="A1" s="28" t="s">
        <v>266</v>
      </c>
      <c r="F1" s="29"/>
      <c r="G1" s="29"/>
      <c r="H1" s="29"/>
      <c r="I1" s="29"/>
      <c r="J1" s="29"/>
      <c r="K1" s="29"/>
      <c r="L1" s="29"/>
      <c r="M1" s="29"/>
      <c r="N1" s="29"/>
      <c r="O1" s="29"/>
      <c r="P1" s="29"/>
      <c r="Q1" s="29"/>
      <c r="R1" s="29"/>
      <c r="S1" s="29"/>
      <c r="T1" s="29"/>
      <c r="U1" s="29"/>
      <c r="V1" s="29"/>
      <c r="W1" s="29"/>
      <c r="X1" s="29"/>
      <c r="Y1" s="29"/>
      <c r="Z1" s="29"/>
    </row>
    <row r="2" ht="32.25" customHeight="1">
      <c r="A2" s="30" t="str">
        <f>IFERROR(__xludf.DUMMYFUNCTION("QUERY('Form Responses'!A1:X162, ""SELECT Col4, Col5, Col6, Col8, Col10 WHERE Col1 is not null AND Col11 is null AND NOT Col5 Contains 'Purple' AND NOT Col5 Contains 'Ivory' ORDER BY Col10 ASC LABEL Col4 'Team', Col6 'Photo'"")"),"Team")</f>
        <v>Team</v>
      </c>
      <c r="B2" s="31" t="str">
        <f>IFERROR(__xludf.DUMMYFUNCTION("""COMPUTED_VALUE"""),"Current Status")</f>
        <v>Current Status</v>
      </c>
      <c r="C2" s="31" t="str">
        <f>IFERROR(__xludf.DUMMYFUNCTION("""COMPUTED_VALUE"""),"Photo")</f>
        <v>Photo</v>
      </c>
      <c r="D2" s="31" t="str">
        <f>IFERROR(__xludf.DUMMYFUNCTION("""COMPUTED_VALUE"""),"Required Actions / Comments")</f>
        <v>Required Actions / Comments</v>
      </c>
      <c r="E2" s="31" t="str">
        <f>IFERROR(__xludf.DUMMYFUNCTION("""COMPUTED_VALUE"""),"Deadline")</f>
        <v>Deadline</v>
      </c>
      <c r="F2" s="30"/>
      <c r="G2" s="30"/>
      <c r="H2" s="30"/>
      <c r="I2" s="30"/>
      <c r="J2" s="30"/>
      <c r="K2" s="30"/>
      <c r="L2" s="30"/>
      <c r="M2" s="30"/>
      <c r="N2" s="30"/>
      <c r="O2" s="30"/>
      <c r="P2" s="30"/>
      <c r="Q2" s="30"/>
      <c r="R2" s="30"/>
      <c r="S2" s="30"/>
      <c r="T2" s="30"/>
      <c r="U2" s="30"/>
      <c r="V2" s="30"/>
      <c r="W2" s="30"/>
      <c r="X2" s="30"/>
      <c r="Y2" s="30"/>
      <c r="Z2" s="30"/>
    </row>
    <row r="3">
      <c r="A3" s="32" t="str">
        <f>IFERROR(__xludf.DUMMYFUNCTION("""COMPUTED_VALUE"""),"Baja")</f>
        <v>Baja</v>
      </c>
      <c r="B3" s="32" t="str">
        <f>IFERROR(__xludf.DUMMYFUNCTION("""COMPUTED_VALUE"""),"Yellow - Stewardship concern (resolve in 7-10 days)")</f>
        <v>Yellow - Stewardship concern (resolve in 7-10 days)</v>
      </c>
      <c r="C3" s="33" t="str">
        <f>IFERROR(__xludf.DUMMYFUNCTION("""COMPUTED_VALUE"""),"https://drive.google.com/open?id=1D3qL8TNVc7-zvT5jNVjWzs4qgRazBxpV")</f>
        <v>https://drive.google.com/open?id=1D3qL8TNVc7-zvT5jNVjWzs4qgRazBxpV</v>
      </c>
      <c r="D3" s="32" t="str">
        <f>IFERROR(__xludf.DUMMYFUNCTION("""COMPUTED_VALUE"""),"Please empty cabinet for relocation	")</f>
        <v>Please empty cabinet for relocation	</v>
      </c>
      <c r="E3" s="34">
        <f>IFERROR(__xludf.DUMMYFUNCTION("""COMPUTED_VALUE"""),45971.0)</f>
        <v>45971</v>
      </c>
      <c r="F3" s="32" t="b">
        <v>0</v>
      </c>
      <c r="G3" s="6"/>
      <c r="H3" s="6"/>
      <c r="I3" s="6"/>
      <c r="J3" s="6"/>
      <c r="K3" s="6"/>
      <c r="L3" s="6"/>
      <c r="M3" s="6"/>
      <c r="N3" s="6"/>
      <c r="O3" s="6"/>
      <c r="P3" s="6"/>
      <c r="Q3" s="6"/>
      <c r="R3" s="6"/>
      <c r="S3" s="6"/>
      <c r="T3" s="6"/>
      <c r="U3" s="6"/>
      <c r="V3" s="6"/>
      <c r="W3" s="6"/>
      <c r="X3" s="6"/>
      <c r="Y3" s="6"/>
      <c r="Z3" s="6"/>
    </row>
    <row r="4">
      <c r="A4" s="32" t="str">
        <f>IFERROR(__xludf.DUMMYFUNCTION("""COMPUTED_VALUE"""),"EWH")</f>
        <v>EWH</v>
      </c>
      <c r="B4" s="32" t="str">
        <f>IFERROR(__xludf.DUMMYFUNCTION("""COMPUTED_VALUE"""),"Orange -   Operations Safety (resolve in 2-3 business days)")</f>
        <v>Orange -   Operations Safety (resolve in 2-3 business days)</v>
      </c>
      <c r="C4" s="33" t="str">
        <f>IFERROR(__xludf.DUMMYFUNCTION("""COMPUTED_VALUE"""),"https://drive.google.com/open?id=16-2ZzgFD8n9wZYaniPOz0w6NisXEwoO_")</f>
        <v>https://drive.google.com/open?id=16-2ZzgFD8n9wZYaniPOz0w6NisXEwoO_</v>
      </c>
      <c r="D4" s="32" t="str">
        <f>IFERROR(__xludf.DUMMYFUNCTION("""COMPUTED_VALUE"""),"Assuming EWH. Wheelchair cannot be in front of the electrical panel. A note has been left on the chair by myself and I moved the chair on one occasion, but it keeps being replaced there. ")</f>
        <v>Assuming EWH. Wheelchair cannot be in front of the electrical panel. A note has been left on the chair by myself and I moved the chair on one occasion, but it keeps being replaced there. </v>
      </c>
      <c r="E4" s="34">
        <f>IFERROR(__xludf.DUMMYFUNCTION("""COMPUTED_VALUE"""),45977.0)</f>
        <v>45977</v>
      </c>
      <c r="F4" s="32" t="b">
        <v>0</v>
      </c>
      <c r="G4" s="6"/>
      <c r="H4" s="6"/>
      <c r="I4" s="6"/>
      <c r="J4" s="6"/>
      <c r="K4" s="6"/>
      <c r="L4" s="6"/>
      <c r="M4" s="6"/>
      <c r="N4" s="6"/>
      <c r="O4" s="6"/>
      <c r="P4" s="6"/>
      <c r="Q4" s="6"/>
      <c r="R4" s="6"/>
      <c r="S4" s="6"/>
      <c r="T4" s="6"/>
      <c r="U4" s="6"/>
      <c r="V4" s="6"/>
      <c r="W4" s="6"/>
      <c r="X4" s="6"/>
      <c r="Y4" s="6"/>
      <c r="Z4" s="6"/>
    </row>
    <row r="5">
      <c r="A5" s="32" t="str">
        <f>IFERROR(__xludf.DUMMYFUNCTION("""COMPUTED_VALUE"""),"EWH")</f>
        <v>EWH</v>
      </c>
      <c r="B5" s="32" t="str">
        <f>IFERROR(__xludf.DUMMYFUNCTION("""COMPUTED_VALUE"""),"Orange -   Operations Safety (resolve in 2-3 business days)")</f>
        <v>Orange -   Operations Safety (resolve in 2-3 business days)</v>
      </c>
      <c r="C5" s="33" t="str">
        <f>IFERROR(__xludf.DUMMYFUNCTION("""COMPUTED_VALUE"""),"https://drive.google.com/open?id=18GFZyZDJ1WJcR3ieXj1Yw5iJKXofAb_-")</f>
        <v>https://drive.google.com/open?id=18GFZyZDJ1WJcR3ieXj1Yw5iJKXofAb_-</v>
      </c>
      <c r="D5" s="32" t="str">
        <f>IFERROR(__xludf.DUMMYFUNCTION("""COMPUTED_VALUE"""),"Assuming EWH. Buckets / boxes cannot be placed in front of electrical panel. ")</f>
        <v>Assuming EWH. Buckets / boxes cannot be placed in front of electrical panel. </v>
      </c>
      <c r="E5" s="34">
        <f>IFERROR(__xludf.DUMMYFUNCTION("""COMPUTED_VALUE"""),45977.0)</f>
        <v>45977</v>
      </c>
      <c r="F5" s="32" t="b">
        <v>1</v>
      </c>
      <c r="G5" s="6"/>
      <c r="H5" s="6"/>
      <c r="I5" s="6"/>
      <c r="J5" s="6"/>
      <c r="K5" s="6"/>
      <c r="L5" s="6"/>
      <c r="M5" s="6"/>
      <c r="N5" s="6"/>
      <c r="O5" s="6"/>
      <c r="P5" s="6"/>
      <c r="Q5" s="6"/>
      <c r="R5" s="6"/>
      <c r="S5" s="6"/>
      <c r="T5" s="6"/>
      <c r="U5" s="6"/>
      <c r="V5" s="6"/>
      <c r="W5" s="6"/>
      <c r="X5" s="6"/>
      <c r="Y5" s="6"/>
      <c r="Z5" s="6"/>
    </row>
    <row r="6">
      <c r="A6" s="32" t="str">
        <f>IFERROR(__xludf.DUMMYFUNCTION("""COMPUTED_VALUE"""),"Unknown / unsure")</f>
        <v>Unknown / unsure</v>
      </c>
      <c r="B6" s="32" t="str">
        <f>IFERROR(__xludf.DUMMYFUNCTION("""COMPUTED_VALUE"""),"Orange -   Operations Safety (resolve in 2-3 business days)")</f>
        <v>Orange -   Operations Safety (resolve in 2-3 business days)</v>
      </c>
      <c r="C6" s="33" t="str">
        <f>IFERROR(__xludf.DUMMYFUNCTION("""COMPUTED_VALUE"""),"https://drive.google.com/open?id=1mQ8i67BWT-5bGibx-MAF1fsWzVJgi1QP")</f>
        <v>https://drive.google.com/open?id=1mQ8i67BWT-5bGibx-MAF1fsWzVJgi1QP</v>
      </c>
      <c r="D6" s="32" t="str">
        <f>IFERROR(__xludf.DUMMYFUNCTION("""COMPUTED_VALUE"""),"None of the Baja / FSAE team members I've spoken to know whose this crane is, but it is blocking the walkway / electrical panel. I have moved it once before, but it continues to be placed in this spot. ")</f>
        <v>None of the Baja / FSAE team members I've spoken to know whose this crane is, but it is blocking the walkway / electrical panel. I have moved it once before, but it continues to be placed in this spot. </v>
      </c>
      <c r="E6" s="34">
        <f>IFERROR(__xludf.DUMMYFUNCTION("""COMPUTED_VALUE"""),45977.0)</f>
        <v>45977</v>
      </c>
      <c r="F6" s="6" t="b">
        <v>0</v>
      </c>
      <c r="G6" s="6"/>
      <c r="H6" s="6"/>
      <c r="I6" s="6"/>
      <c r="J6" s="6"/>
      <c r="K6" s="6"/>
      <c r="L6" s="6"/>
      <c r="M6" s="6"/>
      <c r="N6" s="6"/>
      <c r="O6" s="6"/>
      <c r="P6" s="6"/>
      <c r="Q6" s="6"/>
      <c r="R6" s="6"/>
      <c r="S6" s="6"/>
      <c r="T6" s="6"/>
      <c r="U6" s="6"/>
      <c r="V6" s="6"/>
      <c r="W6" s="6"/>
      <c r="X6" s="6"/>
      <c r="Y6" s="6"/>
      <c r="Z6" s="6"/>
    </row>
    <row r="7">
      <c r="A7" s="32" t="str">
        <f>IFERROR(__xludf.DUMMYFUNCTION("""COMPUTED_VALUE"""),"Geodata")</f>
        <v>Geodata</v>
      </c>
      <c r="B7" s="32" t="str">
        <f>IFERROR(__xludf.DUMMYFUNCTION("""COMPUTED_VALUE"""),"Yellow -   Stewardship Concern (resolve in 7-10 days)")</f>
        <v>Yellow -   Stewardship Concern (resolve in 7-10 days)</v>
      </c>
      <c r="C7" s="32"/>
      <c r="D7" s="32" t="str">
        <f>IFERROR(__xludf.DUMMYFUNCTION("""COMPUTED_VALUE"""),"Boxes appearing to contain geodata materials was placed in front of the EWH shelves. Please refrain from doing so and respect the storage areas of your fellow teams. The boxes were moved in front of the geodata shelves. ")</f>
        <v>Boxes appearing to contain geodata materials was placed in front of the EWH shelves. Please refrain from doing so and respect the storage areas of your fellow teams. The boxes were moved in front of the geodata shelves. </v>
      </c>
      <c r="E7" s="34">
        <f>IFERROR(__xludf.DUMMYFUNCTION("""COMPUTED_VALUE"""),45986.0)</f>
        <v>45986</v>
      </c>
      <c r="F7" s="32" t="b">
        <v>1</v>
      </c>
      <c r="G7" s="6"/>
      <c r="H7" s="6"/>
      <c r="I7" s="6"/>
      <c r="J7" s="6"/>
      <c r="K7" s="6"/>
      <c r="L7" s="6"/>
      <c r="M7" s="6"/>
      <c r="N7" s="6"/>
      <c r="O7" s="6"/>
      <c r="P7" s="6"/>
      <c r="Q7" s="6"/>
      <c r="R7" s="6"/>
      <c r="S7" s="6"/>
      <c r="T7" s="6"/>
      <c r="U7" s="6"/>
      <c r="V7" s="6"/>
      <c r="W7" s="6"/>
      <c r="X7" s="6"/>
      <c r="Y7" s="6"/>
      <c r="Z7" s="6"/>
    </row>
    <row r="8">
      <c r="A8" s="32" t="str">
        <f>IFERROR(__xludf.DUMMYFUNCTION("""COMPUTED_VALUE"""),"Formula")</f>
        <v>Formula</v>
      </c>
      <c r="B8" s="32" t="str">
        <f>IFERROR(__xludf.DUMMYFUNCTION("""COMPUTED_VALUE"""),"Yellow -   Stewardship Concern (resolve in 7-10 days)")</f>
        <v>Yellow -   Stewardship Concern (resolve in 7-10 days)</v>
      </c>
      <c r="C8" s="32"/>
      <c r="D8" s="32" t="str">
        <f>IFERROR(__xludf.DUMMYFUNCTION("""COMPUTED_VALUE"""),"Store material rolls so the won’t fall or lean on waste chemical drum")</f>
        <v>Store material rolls so the won’t fall or lean on waste chemical drum</v>
      </c>
      <c r="E8" s="34">
        <f>IFERROR(__xludf.DUMMYFUNCTION("""COMPUTED_VALUE"""),45992.0)</f>
        <v>45992</v>
      </c>
      <c r="F8" s="32" t="b">
        <v>1</v>
      </c>
      <c r="G8" s="6"/>
      <c r="H8" s="6"/>
      <c r="I8" s="6"/>
      <c r="J8" s="6"/>
      <c r="K8" s="6"/>
      <c r="L8" s="6"/>
      <c r="M8" s="6"/>
      <c r="N8" s="6"/>
      <c r="O8" s="6"/>
      <c r="P8" s="6"/>
      <c r="Q8" s="6"/>
      <c r="R8" s="6"/>
      <c r="S8" s="6"/>
      <c r="T8" s="6"/>
      <c r="U8" s="6"/>
      <c r="V8" s="6"/>
      <c r="W8" s="6"/>
      <c r="X8" s="6"/>
      <c r="Y8" s="6"/>
      <c r="Z8" s="6"/>
    </row>
    <row r="9">
      <c r="A9" s="32" t="str">
        <f>IFERROR(__xludf.DUMMYFUNCTION("""COMPUTED_VALUE"""),"AutoBoat")</f>
        <v>AutoBoat</v>
      </c>
      <c r="B9" s="32" t="str">
        <f>IFERROR(__xludf.DUMMYFUNCTION("""COMPUTED_VALUE"""),"Orange -   Operations Safety (resolve in 2-3 business days)")</f>
        <v>Orange -   Operations Safety (resolve in 2-3 business days)</v>
      </c>
      <c r="C9" s="33" t="str">
        <f>IFERROR(__xludf.DUMMYFUNCTION("""COMPUTED_VALUE"""),"https://drive.google.com/open?id=123AIpsKqNibRFF3EB1mKLcqO3XH4F6Ds")</f>
        <v>https://drive.google.com/open?id=123AIpsKqNibRFF3EB1mKLcqO3XH4F6Ds</v>
      </c>
      <c r="D9" s="32" t="str">
        <f>IFERROR(__xludf.DUMMYFUNCTION("""COMPUTED_VALUE"""),"Remove materials that are blocking access to flammables cabinets ")</f>
        <v>Remove materials that are blocking access to flammables cabinets </v>
      </c>
      <c r="E9" s="35">
        <f>IFERROR(__xludf.DUMMYFUNCTION("""COMPUTED_VALUE"""),46046.0)</f>
        <v>46046</v>
      </c>
      <c r="F9" s="32" t="b">
        <v>1</v>
      </c>
      <c r="G9" s="6"/>
      <c r="H9" s="6"/>
      <c r="I9" s="6"/>
      <c r="J9" s="6"/>
      <c r="K9" s="6"/>
      <c r="L9" s="6"/>
      <c r="M9" s="6"/>
      <c r="N9" s="6"/>
      <c r="O9" s="6"/>
      <c r="P9" s="6"/>
      <c r="Q9" s="6"/>
      <c r="R9" s="6"/>
      <c r="S9" s="6"/>
      <c r="T9" s="6"/>
      <c r="U9" s="6"/>
      <c r="V9" s="6"/>
      <c r="W9" s="6"/>
      <c r="X9" s="6"/>
      <c r="Y9" s="6"/>
      <c r="Z9" s="6"/>
    </row>
    <row r="10">
      <c r="A10" s="32" t="str">
        <f>IFERROR(__xludf.DUMMYFUNCTION("""COMPUTED_VALUE"""),"Formula")</f>
        <v>Formula</v>
      </c>
      <c r="B10" s="32" t="str">
        <f>IFERROR(__xludf.DUMMYFUNCTION("""COMPUTED_VALUE"""),"Orange -   Operations Safety (resolve in 2-3 business days)")</f>
        <v>Orange -   Operations Safety (resolve in 2-3 business days)</v>
      </c>
      <c r="C10" s="33" t="str">
        <f>IFERROR(__xludf.DUMMYFUNCTION("""COMPUTED_VALUE"""),"https://drive.google.com/open?id=1H96S9ivvB4e3WGdp0t18sEs4wTBBL_di")</f>
        <v>https://drive.google.com/open?id=1H96S9ivvB4e3WGdp0t18sEs4wTBBL_di</v>
      </c>
      <c r="D10" s="32" t="str">
        <f>IFERROR(__xludf.DUMMYFUNCTION("""COMPUTED_VALUE"""),"Move materials that are blocking access to flammables cabinets ")</f>
        <v>Move materials that are blocking access to flammables cabinets </v>
      </c>
      <c r="E10" s="35">
        <f>IFERROR(__xludf.DUMMYFUNCTION("""COMPUTED_VALUE"""),46046.0)</f>
        <v>46046</v>
      </c>
      <c r="F10" s="32" t="b">
        <v>1</v>
      </c>
      <c r="G10" s="6"/>
      <c r="H10" s="6"/>
      <c r="I10" s="6"/>
      <c r="J10" s="6"/>
      <c r="K10" s="6"/>
      <c r="L10" s="6"/>
      <c r="M10" s="6"/>
      <c r="N10" s="6"/>
      <c r="O10" s="6"/>
      <c r="P10" s="6"/>
      <c r="Q10" s="6"/>
      <c r="R10" s="6"/>
      <c r="S10" s="6"/>
      <c r="T10" s="6"/>
      <c r="U10" s="6"/>
      <c r="V10" s="6"/>
      <c r="W10" s="6"/>
      <c r="X10" s="6"/>
      <c r="Y10" s="6"/>
      <c r="Z10" s="6"/>
    </row>
    <row r="11">
      <c r="A11" s="32" t="str">
        <f>IFERROR(__xludf.DUMMYFUNCTION("""COMPUTED_VALUE"""),"Baja")</f>
        <v>Baja</v>
      </c>
      <c r="B11" s="32" t="str">
        <f>IFERROR(__xludf.DUMMYFUNCTION("""COMPUTED_VALUE"""),"Red -   Code Compliance (same-day action Required)")</f>
        <v>Red -   Code Compliance (same-day action Required)</v>
      </c>
      <c r="C11" s="33" t="str">
        <f>IFERROR(__xludf.DUMMYFUNCTION("""COMPUTED_VALUE"""),"https://drive.google.com/open?id=1VXHv8A1J6d84DRsp3ztoxUEPNsEWvIUt")</f>
        <v>https://drive.google.com/open?id=1VXHv8A1J6d84DRsp3ztoxUEPNsEWvIUt</v>
      </c>
      <c r="D11" s="32" t="str">
        <f>IFERROR(__xludf.DUMMYFUNCTION("""COMPUTED_VALUE"""),"Store fuel and flammables (not in hot work area), clear access areas for eye wash and electrical panel. ")</f>
        <v>Store fuel and flammables (not in hot work area), clear access areas for eye wash and electrical panel. </v>
      </c>
      <c r="E11" s="35">
        <f>IFERROR(__xludf.DUMMYFUNCTION("""COMPUTED_VALUE"""),46052.0)</f>
        <v>46052</v>
      </c>
      <c r="F11" s="32" t="b">
        <v>1</v>
      </c>
      <c r="G11" s="6"/>
      <c r="H11" s="6"/>
      <c r="I11" s="6"/>
      <c r="J11" s="6"/>
      <c r="K11" s="6"/>
      <c r="L11" s="6"/>
      <c r="M11" s="6"/>
      <c r="N11" s="6"/>
      <c r="O11" s="6"/>
      <c r="P11" s="6"/>
      <c r="Q11" s="6"/>
      <c r="R11" s="6"/>
      <c r="S11" s="6"/>
      <c r="T11" s="6"/>
      <c r="U11" s="6"/>
      <c r="V11" s="6"/>
      <c r="W11" s="6"/>
      <c r="X11" s="6"/>
      <c r="Y11" s="6"/>
      <c r="Z11" s="6"/>
    </row>
    <row r="12">
      <c r="A12" s="32" t="str">
        <f>IFERROR(__xludf.DUMMYFUNCTION("""COMPUTED_VALUE"""),"Formula")</f>
        <v>Formula</v>
      </c>
      <c r="B12" s="32" t="str">
        <f>IFERROR(__xludf.DUMMYFUNCTION("""COMPUTED_VALUE"""),"Red -   Code Compliance (same-day action Required)")</f>
        <v>Red -   Code Compliance (same-day action Required)</v>
      </c>
      <c r="C12" s="33" t="str">
        <f>IFERROR(__xludf.DUMMYFUNCTION("""COMPUTED_VALUE"""),"https://drive.google.com/open?id=1ymY04ayEDichfhr93CXiBWvmyY-9MAy8")</f>
        <v>https://drive.google.com/open?id=1ymY04ayEDichfhr93CXiBWvmyY-9MAy8</v>
      </c>
      <c r="D12" s="32" t="str">
        <f>IFERROR(__xludf.DUMMYFUNCTION("""COMPUTED_VALUE"""),"Move field test extinguishers to storage")</f>
        <v>Move field test extinguishers to storage</v>
      </c>
      <c r="E12" s="35">
        <f>IFERROR(__xludf.DUMMYFUNCTION("""COMPUTED_VALUE"""),46052.0)</f>
        <v>46052</v>
      </c>
      <c r="F12" s="32" t="b">
        <v>1</v>
      </c>
      <c r="G12" s="6"/>
      <c r="H12" s="6"/>
      <c r="I12" s="6"/>
      <c r="J12" s="6"/>
      <c r="K12" s="6"/>
      <c r="L12" s="6"/>
      <c r="M12" s="6"/>
      <c r="N12" s="6"/>
      <c r="O12" s="6"/>
      <c r="P12" s="6"/>
      <c r="Q12" s="6"/>
      <c r="R12" s="6"/>
      <c r="S12" s="6"/>
      <c r="T12" s="6"/>
      <c r="U12" s="6"/>
      <c r="V12" s="6"/>
      <c r="W12" s="6"/>
      <c r="X12" s="6"/>
      <c r="Y12" s="6"/>
      <c r="Z12" s="6"/>
    </row>
    <row r="13">
      <c r="A13" s="32" t="str">
        <f>IFERROR(__xludf.DUMMYFUNCTION("""COMPUTED_VALUE"""),"AutoBoat")</f>
        <v>AutoBoat</v>
      </c>
      <c r="B13" s="32" t="str">
        <f>IFERROR(__xludf.DUMMYFUNCTION("""COMPUTED_VALUE"""),"Orange -   Operations Safety (resolve in 2-3 business days)")</f>
        <v>Orange -   Operations Safety (resolve in 2-3 business days)</v>
      </c>
      <c r="C13" s="33" t="str">
        <f>IFERROR(__xludf.DUMMYFUNCTION("""COMPUTED_VALUE"""),"https://drive.google.com/open?id=1GeBWk2YHdB5lxc4Ks54YSWOsGuOgR29n")</f>
        <v>https://drive.google.com/open?id=1GeBWk2YHdB5lxc4Ks54YSWOsGuOgR29n</v>
      </c>
      <c r="D13" s="32" t="str">
        <f>IFERROR(__xludf.DUMMYFUNCTION("""COMPUTED_VALUE"""),"Move materials that are blocking the equipment in the hallway. Can relocate to basement of rhodes hall (storage cages) rhodes penthouse storage cages, or the high volt lab.  Consult with operations staff. ")</f>
        <v>Move materials that are blocking the equipment in the hallway. Can relocate to basement of rhodes hall (storage cages) rhodes penthouse storage cages, or the high volt lab.  Consult with operations staff. </v>
      </c>
      <c r="E13" s="35">
        <f>IFERROR(__xludf.DUMMYFUNCTION("""COMPUTED_VALUE"""),46054.0)</f>
        <v>46054</v>
      </c>
      <c r="F13" s="6" t="b">
        <v>0</v>
      </c>
      <c r="G13" s="6"/>
      <c r="H13" s="6"/>
      <c r="I13" s="6"/>
      <c r="J13" s="6"/>
      <c r="K13" s="6"/>
      <c r="L13" s="6"/>
      <c r="M13" s="6"/>
      <c r="N13" s="6"/>
      <c r="O13" s="6"/>
      <c r="P13" s="6"/>
      <c r="Q13" s="6"/>
      <c r="R13" s="6"/>
      <c r="S13" s="6"/>
      <c r="T13" s="6"/>
      <c r="U13" s="6"/>
      <c r="V13" s="6"/>
      <c r="W13" s="6"/>
      <c r="X13" s="6"/>
      <c r="Y13" s="6"/>
      <c r="Z13" s="6"/>
    </row>
    <row r="14">
      <c r="A14" s="32" t="str">
        <f>IFERROR(__xludf.DUMMYFUNCTION("""COMPUTED_VALUE"""),"Formula")</f>
        <v>Formula</v>
      </c>
      <c r="B14" s="32" t="str">
        <f>IFERROR(__xludf.DUMMYFUNCTION("""COMPUTED_VALUE"""),"Orange -   Operations Safety (resolve in 2-3 business days)")</f>
        <v>Orange -   Operations Safety (resolve in 2-3 business days)</v>
      </c>
      <c r="C14" s="33" t="str">
        <f>IFERROR(__xludf.DUMMYFUNCTION("""COMPUTED_VALUE"""),"https://drive.google.com/open?id=1-5zH3kfAOTfFAemrPT6JUNMwQC2geGTL")</f>
        <v>https://drive.google.com/open?id=1-5zH3kfAOTfFAemrPT6JUNMwQC2geGTL</v>
      </c>
      <c r="D14" s="32" t="str">
        <f>IFERROR(__xludf.DUMMYFUNCTION("""COMPUTED_VALUE"""),"Reroute cables to eliminate tripping hazard")</f>
        <v>Reroute cables to eliminate tripping hazard</v>
      </c>
      <c r="E14" s="35">
        <f>IFERROR(__xludf.DUMMYFUNCTION("""COMPUTED_VALUE"""),46054.0)</f>
        <v>46054</v>
      </c>
      <c r="F14" s="6" t="b">
        <v>0</v>
      </c>
      <c r="G14" s="6"/>
      <c r="H14" s="6"/>
      <c r="I14" s="6"/>
      <c r="J14" s="6"/>
      <c r="K14" s="6"/>
      <c r="L14" s="6"/>
      <c r="M14" s="6"/>
      <c r="N14" s="6"/>
      <c r="O14" s="6"/>
      <c r="P14" s="6"/>
      <c r="Q14" s="6"/>
      <c r="R14" s="6"/>
      <c r="S14" s="6"/>
      <c r="T14" s="6"/>
      <c r="U14" s="6"/>
      <c r="V14" s="6"/>
      <c r="W14" s="6"/>
      <c r="X14" s="6"/>
      <c r="Y14" s="6"/>
      <c r="Z14" s="6"/>
    </row>
    <row r="15">
      <c r="A15" s="32" t="str">
        <f>IFERROR(__xludf.DUMMYFUNCTION("""COMPUTED_VALUE"""),"CUBMD")</f>
        <v>CUBMD</v>
      </c>
      <c r="B15" s="32" t="str">
        <f>IFERROR(__xludf.DUMMYFUNCTION("""COMPUTED_VALUE"""),"Yellow -   Stewardship Concern (resolve in 7-10 days)")</f>
        <v>Yellow -   Stewardship Concern (resolve in 7-10 days)</v>
      </c>
      <c r="C15" s="33" t="str">
        <f>IFERROR(__xludf.DUMMYFUNCTION("""COMPUTED_VALUE"""),"https://drive.google.com/open?id=1gwY0e1fP97A6wn3fchNxHbcOBaLPp_qo")</f>
        <v>https://drive.google.com/open?id=1gwY0e1fP97A6wn3fchNxHbcOBaLPp_qo</v>
      </c>
      <c r="D15" s="32" t="str">
        <f>IFERROR(__xludf.DUMMYFUNCTION("""COMPUTED_VALUE"""),"Clear team stuff from reservable table when not in use. ")</f>
        <v>Clear team stuff from reservable table when not in use. </v>
      </c>
      <c r="E15" s="35">
        <f>IFERROR(__xludf.DUMMYFUNCTION("""COMPUTED_VALUE"""),46055.0)</f>
        <v>46055</v>
      </c>
      <c r="F15" s="6" t="b">
        <v>0</v>
      </c>
      <c r="G15" s="6"/>
      <c r="H15" s="6"/>
      <c r="I15" s="6"/>
      <c r="J15" s="6"/>
      <c r="K15" s="6"/>
      <c r="L15" s="6"/>
      <c r="M15" s="6"/>
      <c r="N15" s="6"/>
      <c r="O15" s="6"/>
      <c r="P15" s="6"/>
      <c r="Q15" s="6"/>
      <c r="R15" s="6"/>
      <c r="S15" s="6"/>
      <c r="T15" s="6"/>
      <c r="U15" s="6"/>
      <c r="V15" s="6"/>
      <c r="W15" s="6"/>
      <c r="X15" s="6"/>
      <c r="Y15" s="6"/>
      <c r="Z15" s="6"/>
    </row>
    <row r="16">
      <c r="A16" s="32" t="str">
        <f>IFERROR(__xludf.DUMMYFUNCTION("""COMPUTED_VALUE"""),"EWB")</f>
        <v>EWB</v>
      </c>
      <c r="B16" s="32" t="str">
        <f>IFERROR(__xludf.DUMMYFUNCTION("""COMPUTED_VALUE"""),"Yellow -   Stewardship Concern (resolve in 7-10 days)")</f>
        <v>Yellow -   Stewardship Concern (resolve in 7-10 days)</v>
      </c>
      <c r="C16" s="33" t="str">
        <f>IFERROR(__xludf.DUMMYFUNCTION("""COMPUTED_VALUE"""),"https://drive.google.com/open?id=1FYy9H_zLArSs6XnS0tonCP7EtnjkWSjm")</f>
        <v>https://drive.google.com/open?id=1FYy9H_zLArSs6XnS0tonCP7EtnjkWSjm</v>
      </c>
      <c r="D16" s="32" t="str">
        <f>IFERROR(__xludf.DUMMYFUNCTION("""COMPUTED_VALUE"""),"Remove teams things from miserable table when not in use")</f>
        <v>Remove teams things from miserable table when not in use</v>
      </c>
      <c r="E16" s="35">
        <f>IFERROR(__xludf.DUMMYFUNCTION("""COMPUTED_VALUE"""),46055.0)</f>
        <v>46055</v>
      </c>
      <c r="F16" s="6" t="b">
        <v>0</v>
      </c>
      <c r="G16" s="6"/>
      <c r="H16" s="6"/>
      <c r="I16" s="6"/>
      <c r="J16" s="6"/>
      <c r="K16" s="6"/>
      <c r="L16" s="6"/>
      <c r="M16" s="6"/>
      <c r="N16" s="6"/>
      <c r="O16" s="6"/>
      <c r="P16" s="6"/>
      <c r="Q16" s="6"/>
      <c r="R16" s="6"/>
      <c r="S16" s="6"/>
      <c r="T16" s="6"/>
      <c r="U16" s="6"/>
      <c r="V16" s="6"/>
      <c r="W16" s="6"/>
      <c r="X16" s="6"/>
      <c r="Y16" s="6"/>
      <c r="Z16" s="6"/>
    </row>
    <row r="17">
      <c r="A17" s="32" t="str">
        <f>IFERROR(__xludf.DUMMYFUNCTION("""COMPUTED_VALUE"""),"ESW")</f>
        <v>ESW</v>
      </c>
      <c r="B17" s="32" t="str">
        <f>IFERROR(__xludf.DUMMYFUNCTION("""COMPUTED_VALUE"""),"Yellow -   Stewardship Concern (resolve in 7-10 days)")</f>
        <v>Yellow -   Stewardship Concern (resolve in 7-10 days)</v>
      </c>
      <c r="C17" s="33" t="str">
        <f>IFERROR(__xludf.DUMMYFUNCTION("""COMPUTED_VALUE"""),"https://drive.google.com/open?id=1n9E8iMrdcuLE-S7YWD0QFdQPTbw_ASXM")</f>
        <v>https://drive.google.com/open?id=1n9E8iMrdcuLE-S7YWD0QFdQPTbw_ASXM</v>
      </c>
      <c r="D17" s="32" t="str">
        <f>IFERROR(__xludf.DUMMYFUNCTION("""COMPUTED_VALUE"""),"Remove team’s things from reservable table when not in use")</f>
        <v>Remove team’s things from reservable table when not in use</v>
      </c>
      <c r="E17" s="35">
        <f>IFERROR(__xludf.DUMMYFUNCTION("""COMPUTED_VALUE"""),46055.0)</f>
        <v>46055</v>
      </c>
      <c r="F17" s="6" t="b">
        <v>0</v>
      </c>
      <c r="G17" s="6"/>
      <c r="H17" s="6"/>
      <c r="I17" s="6"/>
      <c r="J17" s="6"/>
      <c r="K17" s="6"/>
      <c r="L17" s="6"/>
      <c r="M17" s="6"/>
      <c r="N17" s="6"/>
      <c r="O17" s="6"/>
      <c r="P17" s="6"/>
      <c r="Q17" s="6"/>
      <c r="R17" s="6"/>
      <c r="S17" s="6"/>
      <c r="T17" s="6"/>
      <c r="U17" s="6"/>
      <c r="V17" s="6"/>
      <c r="W17" s="6"/>
      <c r="X17" s="6"/>
      <c r="Y17" s="6"/>
      <c r="Z17" s="6"/>
    </row>
    <row r="18">
      <c r="A18" s="32" t="str">
        <f>IFERROR(__xludf.DUMMYFUNCTION("""COMPUTED_VALUE"""),"Steel Bridge")</f>
        <v>Steel Bridge</v>
      </c>
      <c r="B18" s="32" t="str">
        <f>IFERROR(__xludf.DUMMYFUNCTION("""COMPUTED_VALUE"""),"Yellow -   Stewardship Concern (resolve in 7-10 days)")</f>
        <v>Yellow -   Stewardship Concern (resolve in 7-10 days)</v>
      </c>
      <c r="C18" s="33" t="str">
        <f>IFERROR(__xludf.DUMMYFUNCTION("""COMPUTED_VALUE"""),"https://drive.google.com/open?id=1IiOsx9cC44RRxC1rZpDA9S1cAXw0-1dV")</f>
        <v>https://drive.google.com/open?id=1IiOsx9cC44RRxC1rZpDA9S1cAXw0-1dV</v>
      </c>
      <c r="D18" s="32" t="str">
        <f>IFERROR(__xludf.DUMMYFUNCTION("""COMPUTED_VALUE"""),"Please move as much of the metal stock as possible onto the lowest storage shelf  and consolidate the rest to clear the walkway. ")</f>
        <v>Please move as much of the metal stock as possible onto the lowest storage shelf  and consolidate the rest to clear the walkway. </v>
      </c>
      <c r="E18" s="35">
        <f>IFERROR(__xludf.DUMMYFUNCTION("""COMPUTED_VALUE"""),46059.0)</f>
        <v>46059</v>
      </c>
      <c r="F18" s="6" t="b">
        <v>0</v>
      </c>
      <c r="G18" s="6"/>
      <c r="H18" s="6"/>
      <c r="I18" s="6"/>
      <c r="J18" s="6"/>
      <c r="K18" s="6"/>
      <c r="L18" s="6"/>
      <c r="M18" s="6"/>
      <c r="N18" s="6"/>
      <c r="O18" s="6"/>
      <c r="P18" s="6"/>
      <c r="Q18" s="6"/>
      <c r="R18" s="6"/>
      <c r="S18" s="6"/>
      <c r="T18" s="6"/>
      <c r="U18" s="6"/>
      <c r="V18" s="6"/>
      <c r="W18" s="6"/>
      <c r="X18" s="6"/>
      <c r="Y18" s="6"/>
      <c r="Z18" s="6"/>
    </row>
    <row r="19">
      <c r="A19" s="32" t="str">
        <f>IFERROR(__xludf.DUMMYFUNCTION("""COMPUTED_VALUE"""),"DEBUT")</f>
        <v>DEBUT</v>
      </c>
      <c r="B19" s="32" t="str">
        <f>IFERROR(__xludf.DUMMYFUNCTION("""COMPUTED_VALUE"""),"Orange -   Operations Safety (resolve in 2-3 business days)")</f>
        <v>Orange -   Operations Safety (resolve in 2-3 business days)</v>
      </c>
      <c r="C19" s="33" t="str">
        <f>IFERROR(__xludf.DUMMYFUNCTION("""COMPUTED_VALUE"""),"https://drive.google.com/open?id=1iOJWkEejMvijXob_rhDXUeHslAd4laYN")</f>
        <v>https://drive.google.com/open?id=1iOJWkEejMvijXob_rhDXUeHslAd4laYN</v>
      </c>
      <c r="D19" s="32" t="str">
        <f>IFERROR(__xludf.DUMMYFUNCTION("""COMPUTED_VALUE"""),"Wheelchair cannot be blocking the electrical panel. Chair moved out of the way.")</f>
        <v>Wheelchair cannot be blocking the electrical panel. Chair moved out of the way.</v>
      </c>
      <c r="E19" s="35">
        <f>IFERROR(__xludf.DUMMYFUNCTION("""COMPUTED_VALUE"""),46059.0)</f>
        <v>46059</v>
      </c>
      <c r="F19" s="32" t="b">
        <v>1</v>
      </c>
      <c r="G19" s="6"/>
      <c r="H19" s="6"/>
      <c r="I19" s="6"/>
      <c r="J19" s="6"/>
      <c r="K19" s="6"/>
      <c r="L19" s="6"/>
      <c r="M19" s="6"/>
      <c r="N19" s="6"/>
      <c r="O19" s="6"/>
      <c r="P19" s="6"/>
      <c r="Q19" s="6"/>
      <c r="R19" s="6"/>
      <c r="S19" s="6"/>
      <c r="T19" s="6"/>
      <c r="U19" s="6"/>
      <c r="V19" s="6"/>
      <c r="W19" s="6"/>
      <c r="X19" s="6"/>
      <c r="Y19" s="6"/>
      <c r="Z19" s="6"/>
    </row>
    <row r="20">
      <c r="A20" s="32" t="str">
        <f>IFERROR(__xludf.DUMMYFUNCTION("""COMPUTED_VALUE"""),"Formula")</f>
        <v>Formula</v>
      </c>
      <c r="B20" s="32" t="str">
        <f>IFERROR(__xludf.DUMMYFUNCTION("""COMPUTED_VALUE"""),"Yellow -   Stewardship Concern (resolve in 7-10 days)")</f>
        <v>Yellow -   Stewardship Concern (resolve in 7-10 days)</v>
      </c>
      <c r="C20" s="33" t="str">
        <f>IFERROR(__xludf.DUMMYFUNCTION("""COMPUTED_VALUE"""),"https://drive.google.com/open?id=1Sxgx7LoZNK5bS7JrQSzKlFpmebduI5MZ")</f>
        <v>https://drive.google.com/open?id=1Sxgx7LoZNK5bS7JrQSzKlFpmebduI5MZ</v>
      </c>
      <c r="D20" s="32" t="str">
        <f>IFERROR(__xludf.DUMMYFUNCTION("""COMPUTED_VALUE"""),"Move materials to storage. ")</f>
        <v>Move materials to storage. </v>
      </c>
      <c r="E20" s="35">
        <f>IFERROR(__xludf.DUMMYFUNCTION("""COMPUTED_VALUE"""),46061.0)</f>
        <v>46061</v>
      </c>
      <c r="F20" s="6" t="b">
        <v>0</v>
      </c>
      <c r="G20" s="6"/>
      <c r="H20" s="6"/>
      <c r="I20" s="6"/>
      <c r="J20" s="6"/>
      <c r="K20" s="6"/>
      <c r="L20" s="6"/>
      <c r="M20" s="6"/>
      <c r="N20" s="6"/>
      <c r="O20" s="6"/>
      <c r="P20" s="6"/>
      <c r="Q20" s="6"/>
      <c r="R20" s="6"/>
      <c r="S20" s="6"/>
      <c r="T20" s="6"/>
      <c r="U20" s="6"/>
      <c r="V20" s="6"/>
      <c r="W20" s="6"/>
      <c r="X20" s="6"/>
      <c r="Y20" s="6"/>
      <c r="Z20" s="6"/>
    </row>
    <row r="21">
      <c r="A21" s="32" t="str">
        <f>IFERROR(__xludf.DUMMYFUNCTION("""COMPUTED_VALUE"""),"Baja")</f>
        <v>Baja</v>
      </c>
      <c r="B21" s="32" t="str">
        <f>IFERROR(__xludf.DUMMYFUNCTION("""COMPUTED_VALUE"""),"Yellow -   Stewardship Concern (resolve in 7-10 days)")</f>
        <v>Yellow -   Stewardship Concern (resolve in 7-10 days)</v>
      </c>
      <c r="C21" s="33" t="str">
        <f>IFERROR(__xludf.DUMMYFUNCTION("""COMPUTED_VALUE"""),"https://drive.google.com/open?id=1dZBknIO9wAfF2yogyx4h_it3hjqU7Hb6")</f>
        <v>https://drive.google.com/open?id=1dZBknIO9wAfF2yogyx4h_it3hjqU7Hb6</v>
      </c>
      <c r="D21" s="32" t="str">
        <f>IFERROR(__xludf.DUMMYFUNCTION("""COMPUTED_VALUE"""),"Move materials to storage. ")</f>
        <v>Move materials to storage. </v>
      </c>
      <c r="E21" s="35">
        <f>IFERROR(__xludf.DUMMYFUNCTION("""COMPUTED_VALUE"""),46061.0)</f>
        <v>46061</v>
      </c>
      <c r="F21" s="6" t="b">
        <v>0</v>
      </c>
      <c r="G21" s="6"/>
      <c r="H21" s="6"/>
      <c r="I21" s="6"/>
      <c r="J21" s="6"/>
      <c r="K21" s="6"/>
      <c r="L21" s="6"/>
      <c r="M21" s="6"/>
      <c r="N21" s="6"/>
      <c r="O21" s="6"/>
      <c r="P21" s="6"/>
      <c r="Q21" s="6"/>
      <c r="R21" s="6"/>
      <c r="S21" s="6"/>
      <c r="T21" s="6"/>
      <c r="U21" s="6"/>
      <c r="V21" s="6"/>
      <c r="W21" s="6"/>
      <c r="X21" s="6"/>
      <c r="Y21" s="6"/>
      <c r="Z21" s="6"/>
    </row>
    <row r="22">
      <c r="A22" s="32" t="str">
        <f>IFERROR(__xludf.DUMMYFUNCTION("""COMPUTED_VALUE"""),"CUAir")</f>
        <v>CUAir</v>
      </c>
      <c r="B22" s="32" t="str">
        <f>IFERROR(__xludf.DUMMYFUNCTION("""COMPUTED_VALUE"""),"Yellow -   Stewardship Concern (resolve in 7-10 days)")</f>
        <v>Yellow -   Stewardship Concern (resolve in 7-10 days)</v>
      </c>
      <c r="C22" s="33" t="str">
        <f>IFERROR(__xludf.DUMMYFUNCTION("""COMPUTED_VALUE"""),"https://drive.google.com/open?id=1Eur9CX_es2zhaRGL9CkYPvSJQryCmXBO")</f>
        <v>https://drive.google.com/open?id=1Eur9CX_es2zhaRGL9CkYPvSJQryCmXBO</v>
      </c>
      <c r="D22" s="32" t="str">
        <f>IFERROR(__xludf.DUMMYFUNCTION("""COMPUTED_VALUE"""),"Tidy up area, store chemicals and remove excess cardboard from upper shelving. ")</f>
        <v>Tidy up area, store chemicals and remove excess cardboard from upper shelving. </v>
      </c>
      <c r="E22" s="35">
        <f>IFERROR(__xludf.DUMMYFUNCTION("""COMPUTED_VALUE"""),46061.0)</f>
        <v>46061</v>
      </c>
      <c r="F22" s="6" t="b">
        <v>0</v>
      </c>
      <c r="G22" s="6"/>
      <c r="H22" s="6"/>
      <c r="I22" s="6"/>
      <c r="J22" s="6"/>
      <c r="K22" s="6"/>
      <c r="L22" s="6"/>
      <c r="M22" s="6"/>
      <c r="N22" s="6"/>
      <c r="O22" s="6"/>
      <c r="P22" s="6"/>
      <c r="Q22" s="6"/>
      <c r="R22" s="6"/>
      <c r="S22" s="6"/>
      <c r="T22" s="6"/>
      <c r="U22" s="6"/>
      <c r="V22" s="6"/>
      <c r="W22" s="6"/>
      <c r="X22" s="6"/>
      <c r="Y22" s="6"/>
      <c r="Z22" s="6"/>
    </row>
    <row r="23">
      <c r="A23" s="32" t="str">
        <f>IFERROR(__xludf.DUMMYFUNCTION("""COMPUTED_VALUE"""),"Formula")</f>
        <v>Formula</v>
      </c>
      <c r="B23" s="32" t="str">
        <f>IFERROR(__xludf.DUMMYFUNCTION("""COMPUTED_VALUE"""),"Yellow -   Stewardship Concern (resolve in 7-10 days)")</f>
        <v>Yellow -   Stewardship Concern (resolve in 7-10 days)</v>
      </c>
      <c r="C23" s="33" t="str">
        <f>IFERROR(__xludf.DUMMYFUNCTION("""COMPUTED_VALUE"""),"https://drive.google.com/open?id=1piiK5nWmTlQO2SDuG9uLGfZcZ3IfgQIm")</f>
        <v>https://drive.google.com/open?id=1piiK5nWmTlQO2SDuG9uLGfZcZ3IfgQIm</v>
      </c>
      <c r="D23" s="32" t="str">
        <f>IFERROR(__xludf.DUMMYFUNCTION("""COMPUTED_VALUE"""),"Tidy up hallway and toss recycling. ")</f>
        <v>Tidy up hallway and toss recycling. </v>
      </c>
      <c r="E23" s="35">
        <f>IFERROR(__xludf.DUMMYFUNCTION("""COMPUTED_VALUE"""),46061.0)</f>
        <v>46061</v>
      </c>
      <c r="F23" s="6" t="b">
        <v>0</v>
      </c>
      <c r="G23" s="6"/>
      <c r="H23" s="6"/>
      <c r="I23" s="6"/>
      <c r="J23" s="6"/>
      <c r="K23" s="6"/>
      <c r="L23" s="6"/>
      <c r="M23" s="6"/>
      <c r="N23" s="6"/>
      <c r="O23" s="6"/>
      <c r="P23" s="6"/>
      <c r="Q23" s="6"/>
      <c r="R23" s="6"/>
      <c r="S23" s="6"/>
      <c r="T23" s="6"/>
      <c r="U23" s="6"/>
      <c r="V23" s="6"/>
      <c r="W23" s="6"/>
      <c r="X23" s="6"/>
      <c r="Y23" s="6"/>
      <c r="Z23" s="6"/>
    </row>
    <row r="24">
      <c r="A24" s="32" t="str">
        <f>IFERROR(__xludf.DUMMYFUNCTION("""COMPUTED_VALUE"""),"Formula")</f>
        <v>Formula</v>
      </c>
      <c r="B24" s="32" t="str">
        <f>IFERROR(__xludf.DUMMYFUNCTION("""COMPUTED_VALUE"""),"Yellow -   Stewardship Concern (resolve in 7-10 days)")</f>
        <v>Yellow -   Stewardship Concern (resolve in 7-10 days)</v>
      </c>
      <c r="C24" s="33" t="str">
        <f>IFERROR(__xludf.DUMMYFUNCTION("""COMPUTED_VALUE"""),"https://drive.google.com/open?id=1pMGblt_xj3L9UkKzdDwZa2Jzxiq5mozv")</f>
        <v>https://drive.google.com/open?id=1pMGblt_xj3L9UkKzdDwZa2Jzxiq5mozv</v>
      </c>
      <c r="D24" s="32" t="str">
        <f>IFERROR(__xludf.DUMMYFUNCTION("""COMPUTED_VALUE"""),"Remove plywood from b60")</f>
        <v>Remove plywood from b60</v>
      </c>
      <c r="E24" s="35">
        <f>IFERROR(__xludf.DUMMYFUNCTION("""COMPUTED_VALUE"""),46061.0)</f>
        <v>46061</v>
      </c>
      <c r="F24" s="6" t="b">
        <v>0</v>
      </c>
      <c r="G24" s="6"/>
      <c r="H24" s="6"/>
      <c r="I24" s="6"/>
      <c r="J24" s="6"/>
      <c r="K24" s="6"/>
      <c r="L24" s="6"/>
      <c r="M24" s="6"/>
      <c r="N24" s="6"/>
      <c r="O24" s="6"/>
      <c r="P24" s="6"/>
      <c r="Q24" s="6"/>
      <c r="R24" s="6"/>
      <c r="S24" s="6"/>
      <c r="T24" s="6"/>
      <c r="U24" s="6"/>
      <c r="V24" s="6"/>
      <c r="W24" s="6"/>
      <c r="X24" s="6"/>
      <c r="Y24" s="6"/>
      <c r="Z24" s="6"/>
    </row>
    <row r="25">
      <c r="A25" s="32" t="str">
        <f>IFERROR(__xludf.DUMMYFUNCTION("""COMPUTED_VALUE"""),"Unknown / unsure")</f>
        <v>Unknown / unsure</v>
      </c>
      <c r="B25" s="32" t="str">
        <f>IFERROR(__xludf.DUMMYFUNCTION("""COMPUTED_VALUE"""),"Orange -   Operations Safety (resolve in 2-3 business days)")</f>
        <v>Orange -   Operations Safety (resolve in 2-3 business days)</v>
      </c>
      <c r="C25" s="33" t="str">
        <f>IFERROR(__xludf.DUMMYFUNCTION("""COMPUTED_VALUE"""),"https://drive.google.com/open?id=12B-9rB2hdSCYwngV6_Ps2_-tBwbC_xsY")</f>
        <v>https://drive.google.com/open?id=12B-9rB2hdSCYwngV6_Ps2_-tBwbC_xsY</v>
      </c>
      <c r="D25" s="32" t="str">
        <f>IFERROR(__xludf.DUMMYFUNCTION("""COMPUTED_VALUE"""),"Materials in fire lane, unsure of whose")</f>
        <v>Materials in fire lane, unsure of whose</v>
      </c>
      <c r="E25" s="35">
        <f>IFERROR(__xludf.DUMMYFUNCTION("""COMPUTED_VALUE"""),46068.0)</f>
        <v>46068</v>
      </c>
      <c r="F25" s="6" t="b">
        <v>0</v>
      </c>
      <c r="G25" s="6"/>
      <c r="H25" s="6"/>
      <c r="I25" s="6"/>
      <c r="J25" s="6"/>
      <c r="K25" s="6"/>
      <c r="L25" s="6"/>
      <c r="M25" s="6"/>
      <c r="N25" s="6"/>
      <c r="O25" s="6"/>
      <c r="P25" s="6"/>
      <c r="Q25" s="6"/>
      <c r="R25" s="6"/>
      <c r="S25" s="6"/>
      <c r="T25" s="6"/>
      <c r="U25" s="6"/>
      <c r="V25" s="6"/>
      <c r="W25" s="6"/>
      <c r="X25" s="6"/>
      <c r="Y25" s="6"/>
      <c r="Z25" s="6"/>
    </row>
    <row r="26">
      <c r="A26" s="32" t="str">
        <f>IFERROR(__xludf.DUMMYFUNCTION("""COMPUTED_VALUE"""),"Baja")</f>
        <v>Baja</v>
      </c>
      <c r="B26" s="32" t="str">
        <f>IFERROR(__xludf.DUMMYFUNCTION("""COMPUTED_VALUE"""),"Red -   Code Compliance (same-day action Required)")</f>
        <v>Red -   Code Compliance (same-day action Required)</v>
      </c>
      <c r="C26" s="33" t="str">
        <f>IFERROR(__xludf.DUMMYFUNCTION("""COMPUTED_VALUE"""),"https://drive.google.com/open?id=1ki7v4nFCI88KEppqhRE-QyFNxWm_YwEM")</f>
        <v>https://drive.google.com/open?id=1ki7v4nFCI88KEppqhRE-QyFNxWm_YwEM</v>
      </c>
      <c r="D26" s="32" t="str">
        <f>IFERROR(__xludf.DUMMYFUNCTION("""COMPUTED_VALUE"""),"Clear panel access areas")</f>
        <v>Clear panel access areas</v>
      </c>
      <c r="E26" s="35">
        <f>IFERROR(__xludf.DUMMYFUNCTION("""COMPUTED_VALUE"""),46078.0)</f>
        <v>46078</v>
      </c>
      <c r="F26" s="6" t="b">
        <v>0</v>
      </c>
      <c r="G26" s="6"/>
      <c r="H26" s="6"/>
      <c r="I26" s="6"/>
      <c r="J26" s="6"/>
      <c r="K26" s="6"/>
      <c r="L26" s="6"/>
      <c r="M26" s="6"/>
      <c r="N26" s="6"/>
      <c r="O26" s="6"/>
      <c r="P26" s="6"/>
      <c r="Q26" s="6"/>
      <c r="R26" s="6"/>
      <c r="S26" s="6"/>
      <c r="T26" s="6"/>
      <c r="U26" s="6"/>
      <c r="V26" s="6"/>
      <c r="W26" s="6"/>
      <c r="X26" s="6"/>
      <c r="Y26" s="6"/>
      <c r="Z26" s="6"/>
    </row>
    <row r="27">
      <c r="A27" s="32" t="str">
        <f>IFERROR(__xludf.DUMMYFUNCTION("""COMPUTED_VALUE"""),"Formula")</f>
        <v>Formula</v>
      </c>
      <c r="B27" s="32" t="str">
        <f>IFERROR(__xludf.DUMMYFUNCTION("""COMPUTED_VALUE"""),"Red -   Code Compliance (same-day action Required)")</f>
        <v>Red -   Code Compliance (same-day action Required)</v>
      </c>
      <c r="C27" s="33" t="str">
        <f>IFERROR(__xludf.DUMMYFUNCTION("""COMPUTED_VALUE"""),"https://drive.google.com/open?id=1nR7RLvHjbAS8MFvnLgpx2j1aRMe4P812")</f>
        <v>https://drive.google.com/open?id=1nR7RLvHjbAS8MFvnLgpx2j1aRMe4P812</v>
      </c>
      <c r="D27" s="32" t="str">
        <f>IFERROR(__xludf.DUMMYFUNCTION("""COMPUTED_VALUE"""),"Move cones to avoid blocking extinguisher")</f>
        <v>Move cones to avoid blocking extinguisher</v>
      </c>
      <c r="E27" s="35">
        <f>IFERROR(__xludf.DUMMYFUNCTION("""COMPUTED_VALUE"""),46078.0)</f>
        <v>46078</v>
      </c>
      <c r="F27" s="6" t="b">
        <v>0</v>
      </c>
      <c r="G27" s="6"/>
      <c r="H27" s="6"/>
      <c r="I27" s="6"/>
      <c r="J27" s="6"/>
      <c r="K27" s="6"/>
      <c r="L27" s="6"/>
      <c r="M27" s="6"/>
      <c r="N27" s="6"/>
      <c r="O27" s="6"/>
      <c r="P27" s="6"/>
      <c r="Q27" s="6"/>
      <c r="R27" s="6"/>
      <c r="S27" s="6"/>
      <c r="T27" s="6"/>
      <c r="U27" s="6"/>
      <c r="V27" s="6"/>
      <c r="W27" s="6"/>
      <c r="X27" s="6"/>
      <c r="Y27" s="6"/>
      <c r="Z27" s="6"/>
    </row>
    <row r="28">
      <c r="A28" s="32" t="str">
        <f>IFERROR(__xludf.DUMMYFUNCTION("""COMPUTED_VALUE"""),"Formula")</f>
        <v>Formula</v>
      </c>
      <c r="B28" s="32" t="str">
        <f>IFERROR(__xludf.DUMMYFUNCTION("""COMPUTED_VALUE"""),"Red -   Code Compliance (same-day action Required)")</f>
        <v>Red -   Code Compliance (same-day action Required)</v>
      </c>
      <c r="C28" s="33" t="str">
        <f>IFERROR(__xludf.DUMMYFUNCTION("""COMPUTED_VALUE"""),"https://drive.google.com/open?id=11PKC4BzJgcJ6OxM43nSFywrXKQV-qj4Z")</f>
        <v>https://drive.google.com/open?id=11PKC4BzJgcJ6OxM43nSFywrXKQV-qj4Z</v>
      </c>
      <c r="D28" s="32" t="str">
        <f>IFERROR(__xludf.DUMMYFUNCTION("""COMPUTED_VALUE"""),"Move materials to Rhodes basement cages or HVL to clear hallway ")</f>
        <v>Move materials to Rhodes basement cages or HVL to clear hallway </v>
      </c>
      <c r="E28" s="35">
        <f>IFERROR(__xludf.DUMMYFUNCTION("""COMPUTED_VALUE"""),46078.0)</f>
        <v>46078</v>
      </c>
      <c r="F28" s="6" t="b">
        <v>0</v>
      </c>
      <c r="G28" s="6"/>
      <c r="H28" s="6"/>
      <c r="I28" s="6"/>
      <c r="J28" s="6"/>
      <c r="K28" s="6"/>
      <c r="L28" s="6"/>
      <c r="M28" s="6"/>
      <c r="N28" s="6"/>
      <c r="O28" s="6"/>
      <c r="P28" s="6"/>
      <c r="Q28" s="6"/>
      <c r="R28" s="6"/>
      <c r="S28" s="6"/>
      <c r="T28" s="6"/>
      <c r="U28" s="6"/>
      <c r="V28" s="6"/>
      <c r="W28" s="6"/>
      <c r="X28" s="6"/>
      <c r="Y28" s="6"/>
      <c r="Z28" s="6"/>
    </row>
    <row r="29">
      <c r="A29" s="32" t="str">
        <f>IFERROR(__xludf.DUMMYFUNCTION("""COMPUTED_VALUE"""),"Baja")</f>
        <v>Baja</v>
      </c>
      <c r="B29" s="32" t="str">
        <f>IFERROR(__xludf.DUMMYFUNCTION("""COMPUTED_VALUE"""),"Red -   Code Compliance (same-day action Required)")</f>
        <v>Red -   Code Compliance (same-day action Required)</v>
      </c>
      <c r="C29" s="33" t="str">
        <f>IFERROR(__xludf.DUMMYFUNCTION("""COMPUTED_VALUE"""),"https://drive.google.com/open?id=1ryDai6C-m7tpWQipCHZinxgjT5EwpJ3w")</f>
        <v>https://drive.google.com/open?id=1ryDai6C-m7tpWQipCHZinxgjT5EwpJ3w</v>
      </c>
      <c r="D29" s="32" t="str">
        <f>IFERROR(__xludf.DUMMYFUNCTION("""COMPUTED_VALUE"""),"Move materials to Rhodes storage or HVL to clear hallway")</f>
        <v>Move materials to Rhodes storage or HVL to clear hallway</v>
      </c>
      <c r="E29" s="35">
        <f>IFERROR(__xludf.DUMMYFUNCTION("""COMPUTED_VALUE"""),46078.0)</f>
        <v>46078</v>
      </c>
      <c r="F29" s="6" t="b">
        <v>0</v>
      </c>
      <c r="G29" s="6"/>
      <c r="H29" s="6"/>
      <c r="I29" s="6"/>
      <c r="J29" s="6"/>
      <c r="K29" s="6"/>
      <c r="L29" s="6"/>
      <c r="M29" s="6"/>
      <c r="N29" s="6"/>
      <c r="O29" s="6"/>
      <c r="P29" s="6"/>
      <c r="Q29" s="6"/>
      <c r="R29" s="6"/>
      <c r="S29" s="6"/>
      <c r="T29" s="6"/>
      <c r="U29" s="6"/>
      <c r="V29" s="6"/>
      <c r="W29" s="6"/>
      <c r="X29" s="6"/>
      <c r="Y29" s="6"/>
      <c r="Z29" s="6"/>
    </row>
    <row r="30">
      <c r="A30" s="32" t="str">
        <f>IFERROR(__xludf.DUMMYFUNCTION("""COMPUTED_VALUE"""),"CEV")</f>
        <v>CEV</v>
      </c>
      <c r="B30" s="32" t="str">
        <f>IFERROR(__xludf.DUMMYFUNCTION("""COMPUTED_VALUE"""),"Red -   Code Compliance (same-day action Required)")</f>
        <v>Red -   Code Compliance (same-day action Required)</v>
      </c>
      <c r="C30" s="33" t="str">
        <f>IFERROR(__xludf.DUMMYFUNCTION("""COMPUTED_VALUE"""),"https://drive.google.com/open?id=1to3zKfiqP5pSmoXTjMb11puq3qxbQUhk")</f>
        <v>https://drive.google.com/open?id=1to3zKfiqP5pSmoXTjMb11puq3qxbQUhk</v>
      </c>
      <c r="D30" s="32" t="str">
        <f>IFERROR(__xludf.DUMMYFUNCTION("""COMPUTED_VALUE"""),"Clean up and organize composites space. Remove combustibles. Use Rhodes basement cages or HVL for storage if necessary ")</f>
        <v>Clean up and organize composites space. Remove combustibles. Use Rhodes basement cages or HVL for storage if necessary </v>
      </c>
      <c r="E30" s="35">
        <f>IFERROR(__xludf.DUMMYFUNCTION("""COMPUTED_VALUE"""),46078.0)</f>
        <v>46078</v>
      </c>
      <c r="F30" s="6" t="b">
        <v>0</v>
      </c>
      <c r="G30" s="6"/>
      <c r="H30" s="6"/>
      <c r="I30" s="6"/>
      <c r="J30" s="6"/>
      <c r="K30" s="6"/>
      <c r="L30" s="6"/>
      <c r="M30" s="6"/>
      <c r="N30" s="6"/>
      <c r="O30" s="6"/>
      <c r="P30" s="6"/>
      <c r="Q30" s="6"/>
      <c r="R30" s="6"/>
      <c r="S30" s="6"/>
      <c r="T30" s="6"/>
      <c r="U30" s="6"/>
      <c r="V30" s="6"/>
      <c r="W30" s="6"/>
      <c r="X30" s="6"/>
      <c r="Y30" s="6"/>
      <c r="Z30" s="6"/>
    </row>
    <row r="31">
      <c r="A31" s="32" t="str">
        <f>IFERROR(__xludf.DUMMYFUNCTION("""COMPUTED_VALUE"""),"Formula")</f>
        <v>Formula</v>
      </c>
      <c r="B31" s="32" t="str">
        <f>IFERROR(__xludf.DUMMYFUNCTION("""COMPUTED_VALUE"""),"Red -   Code Compliance (same-day action Required)")</f>
        <v>Red -   Code Compliance (same-day action Required)</v>
      </c>
      <c r="C31" s="33" t="str">
        <f>IFERROR(__xludf.DUMMYFUNCTION("""COMPUTED_VALUE"""),"https://drive.google.com/open?id=1RWYNAcqHGg2S5swtIQFLLkbkRavyk9i_")</f>
        <v>https://drive.google.com/open?id=1RWYNAcqHGg2S5swtIQFLLkbkRavyk9i_</v>
      </c>
      <c r="D31" s="32" t="str">
        <f>IFERROR(__xludf.DUMMYFUNCTION("""COMPUTED_VALUE"""),"Remove/ store material rolls ")</f>
        <v>Remove/ store material rolls </v>
      </c>
      <c r="E31" s="35">
        <f>IFERROR(__xludf.DUMMYFUNCTION("""COMPUTED_VALUE"""),46078.0)</f>
        <v>46078</v>
      </c>
      <c r="F31" s="6" t="b">
        <v>0</v>
      </c>
      <c r="G31" s="6"/>
      <c r="H31" s="6"/>
      <c r="I31" s="6"/>
      <c r="J31" s="6"/>
      <c r="K31" s="6"/>
      <c r="L31" s="6"/>
      <c r="M31" s="6"/>
      <c r="N31" s="6"/>
      <c r="O31" s="6"/>
      <c r="P31" s="6"/>
      <c r="Q31" s="6"/>
      <c r="R31" s="6"/>
      <c r="S31" s="6"/>
      <c r="T31" s="6"/>
      <c r="U31" s="6"/>
      <c r="V31" s="6"/>
      <c r="W31" s="6"/>
      <c r="X31" s="6"/>
      <c r="Y31" s="6"/>
      <c r="Z31" s="6"/>
    </row>
    <row r="32">
      <c r="A32" s="32" t="str">
        <f>IFERROR(__xludf.DUMMYFUNCTION("""COMPUTED_VALUE"""),"Formula")</f>
        <v>Formula</v>
      </c>
      <c r="B32" s="32" t="str">
        <f>IFERROR(__xludf.DUMMYFUNCTION("""COMPUTED_VALUE"""),"Red -   Code Compliance (same-day action Required)")</f>
        <v>Red -   Code Compliance (same-day action Required)</v>
      </c>
      <c r="C32" s="33" t="str">
        <f>IFERROR(__xludf.DUMMYFUNCTION("""COMPUTED_VALUE"""),"https://drive.google.com/open?id=18aDWjAopFZClybVzoy9VYApFcTkAnhEr")</f>
        <v>https://drive.google.com/open?id=18aDWjAopFZClybVzoy9VYApFcTkAnhEr</v>
      </c>
      <c r="D32" s="32" t="str">
        <f>IFERROR(__xludf.DUMMYFUNCTION("""COMPUTED_VALUE"""),"Clear floor as much as possible ")</f>
        <v>Clear floor as much as possible </v>
      </c>
      <c r="E32" s="35">
        <f>IFERROR(__xludf.DUMMYFUNCTION("""COMPUTED_VALUE"""),46078.0)</f>
        <v>46078</v>
      </c>
      <c r="F32" s="6"/>
      <c r="G32" s="6"/>
      <c r="H32" s="6"/>
      <c r="I32" s="6"/>
      <c r="J32" s="6"/>
      <c r="K32" s="6"/>
      <c r="L32" s="6"/>
      <c r="M32" s="6"/>
      <c r="N32" s="6"/>
      <c r="O32" s="6"/>
      <c r="P32" s="6"/>
      <c r="Q32" s="6"/>
      <c r="R32" s="6"/>
      <c r="S32" s="6"/>
      <c r="T32" s="6"/>
      <c r="U32" s="6"/>
      <c r="V32" s="6"/>
      <c r="W32" s="6"/>
      <c r="X32" s="6"/>
      <c r="Y32" s="6"/>
      <c r="Z32" s="6"/>
    </row>
    <row r="33">
      <c r="A33" s="32" t="str">
        <f>IFERROR(__xludf.DUMMYFUNCTION("""COMPUTED_VALUE"""),"Design Build Fly")</f>
        <v>Design Build Fly</v>
      </c>
      <c r="B33" s="32" t="str">
        <f>IFERROR(__xludf.DUMMYFUNCTION("""COMPUTED_VALUE"""),"Red -   Code Compliance (same-day action Required)")</f>
        <v>Red -   Code Compliance (same-day action Required)</v>
      </c>
      <c r="C33" s="33" t="str">
        <f>IFERROR(__xludf.DUMMYFUNCTION("""COMPUTED_VALUE"""),"https://drive.google.com/open?id=1aLQZOt63rSPcMQdCmvzQe66XrebwpcgM")</f>
        <v>https://drive.google.com/open?id=1aLQZOt63rSPcMQdCmvzQe66XrebwpcgM</v>
      </c>
      <c r="D33" s="32" t="str">
        <f>IFERROR(__xludf.DUMMYFUNCTION("""COMPUTED_VALUE"""),"Generator must be empty of fuel or moved to HVL or Rhodes penthouse")</f>
        <v>Generator must be empty of fuel or moved to HVL or Rhodes penthouse</v>
      </c>
      <c r="E33" s="35">
        <f>IFERROR(__xludf.DUMMYFUNCTION("""COMPUTED_VALUE"""),46078.0)</f>
        <v>46078</v>
      </c>
      <c r="F33" s="6"/>
      <c r="G33" s="6"/>
      <c r="H33" s="6"/>
      <c r="I33" s="6"/>
      <c r="J33" s="6"/>
      <c r="K33" s="6"/>
      <c r="L33" s="6"/>
      <c r="M33" s="6"/>
      <c r="N33" s="6"/>
      <c r="O33" s="6"/>
      <c r="P33" s="6"/>
      <c r="Q33" s="6"/>
      <c r="R33" s="6"/>
      <c r="S33" s="6"/>
      <c r="T33" s="6"/>
      <c r="U33" s="6"/>
      <c r="V33" s="6"/>
      <c r="W33" s="6"/>
      <c r="X33" s="6"/>
      <c r="Y33" s="6"/>
      <c r="Z33" s="6"/>
    </row>
    <row r="34">
      <c r="A34" s="32" t="str">
        <f>IFERROR(__xludf.DUMMYFUNCTION("""COMPUTED_VALUE"""),"Concrete Canoe")</f>
        <v>Concrete Canoe</v>
      </c>
      <c r="B34" s="32" t="str">
        <f>IFERROR(__xludf.DUMMYFUNCTION("""COMPUTED_VALUE"""),"Orange -   Operations Safety (resolve in 2-3 business days)")</f>
        <v>Orange -   Operations Safety (resolve in 2-3 business days)</v>
      </c>
      <c r="C34" s="33" t="str">
        <f>IFERROR(__xludf.DUMMYFUNCTION("""COMPUTED_VALUE"""),"https://drive.google.com/open?id=1G2Hax0RSCyVwEUURElK7o2C9EIR9KdDk")</f>
        <v>https://drive.google.com/open?id=1G2Hax0RSCyVwEUURElK7o2C9EIR9KdDk</v>
      </c>
      <c r="D34" s="32" t="str">
        <f>IFERROR(__xludf.DUMMYFUNCTION("""COMPUTED_VALUE"""),"Please pick up these new vacuums and dust control lids for the mix crew and bring them to the HVL ASAP")</f>
        <v>Please pick up these new vacuums and dust control lids for the mix crew and bring them to the HVL ASAP</v>
      </c>
      <c r="E34" s="35">
        <f>IFERROR(__xludf.DUMMYFUNCTION("""COMPUTED_VALUE"""),46079.0)</f>
        <v>46079</v>
      </c>
      <c r="F34" s="6"/>
      <c r="G34" s="6"/>
      <c r="H34" s="6"/>
      <c r="I34" s="6"/>
      <c r="J34" s="6"/>
      <c r="K34" s="6"/>
      <c r="L34" s="6"/>
      <c r="M34" s="6"/>
      <c r="N34" s="6"/>
      <c r="O34" s="6"/>
      <c r="P34" s="6"/>
      <c r="Q34" s="6"/>
      <c r="R34" s="6"/>
      <c r="S34" s="6"/>
      <c r="T34" s="6"/>
      <c r="U34" s="6"/>
      <c r="V34" s="6"/>
      <c r="W34" s="6"/>
      <c r="X34" s="6"/>
      <c r="Y34" s="6"/>
      <c r="Z34" s="6"/>
    </row>
    <row r="35">
      <c r="A35" s="32" t="str">
        <f>IFERROR(__xludf.DUMMYFUNCTION("""COMPUTED_VALUE"""),"CEV")</f>
        <v>CEV</v>
      </c>
      <c r="B35" s="32" t="str">
        <f>IFERROR(__xludf.DUMMYFUNCTION("""COMPUTED_VALUE"""),"Orange -   Operations Safety (resolve in 2-3 business days)")</f>
        <v>Orange -   Operations Safety (resolve in 2-3 business days)</v>
      </c>
      <c r="C35" s="33" t="str">
        <f>IFERROR(__xludf.DUMMYFUNCTION("""COMPUTED_VALUE"""),"https://drive.google.com/open?id=1dsW-H0n7DZvHBvsi6AOY_4LsJpGdsyRj")</f>
        <v>https://drive.google.com/open?id=1dsW-H0n7DZvHBvsi6AOY_4LsJpGdsyRj</v>
      </c>
      <c r="D35" s="32" t="str">
        <f>IFERROR(__xludf.DUMMYFUNCTION("""COMPUTED_VALUE"""),"Need to clean up CEV space in composites lab by end of day Wednesday for fire inspection. ")</f>
        <v>Need to clean up CEV space in composites lab by end of day Wednesday for fire inspection. </v>
      </c>
      <c r="E35" s="35">
        <f>IFERROR(__xludf.DUMMYFUNCTION("""COMPUTED_VALUE"""),46079.0)</f>
        <v>46079</v>
      </c>
      <c r="F35" s="6"/>
      <c r="G35" s="6"/>
      <c r="H35" s="6"/>
      <c r="I35" s="6"/>
      <c r="J35" s="6"/>
      <c r="K35" s="6"/>
      <c r="L35" s="6"/>
      <c r="M35" s="6"/>
      <c r="N35" s="6"/>
      <c r="O35" s="6"/>
      <c r="P35" s="6"/>
      <c r="Q35" s="6"/>
      <c r="R35" s="6"/>
      <c r="S35" s="6"/>
      <c r="T35" s="6"/>
      <c r="U35" s="6"/>
      <c r="V35" s="6"/>
      <c r="W35" s="6"/>
      <c r="X35" s="6"/>
      <c r="Y35" s="6"/>
      <c r="Z35" s="6"/>
    </row>
    <row r="36">
      <c r="A36" s="32" t="str">
        <f>IFERROR(__xludf.DUMMYFUNCTION("""COMPUTED_VALUE"""),"Rocketry")</f>
        <v>Rocketry</v>
      </c>
      <c r="B36" s="32" t="str">
        <f>IFERROR(__xludf.DUMMYFUNCTION("""COMPUTED_VALUE"""),"Red -   Code Compliance (same-day action Required)")</f>
        <v>Red -   Code Compliance (same-day action Required)</v>
      </c>
      <c r="C36" s="32"/>
      <c r="D36" s="32" t="str">
        <f>IFERROR(__xludf.DUMMYFUNCTION("""COMPUTED_VALUE"""),"Please remove propane tank from inside HVL before 2pm today if at all possible. You can leave it in the back of the project truck if you need to. ")</f>
        <v>Please remove propane tank from inside HVL before 2pm today if at all possible. You can leave it in the back of the project truck if you need to. </v>
      </c>
      <c r="E36" s="35">
        <f>IFERROR(__xludf.DUMMYFUNCTION("""COMPUTED_VALUE"""),46080.0)</f>
        <v>46080</v>
      </c>
      <c r="F36" s="6"/>
      <c r="G36" s="6"/>
      <c r="H36" s="6"/>
      <c r="I36" s="6"/>
      <c r="J36" s="6"/>
      <c r="K36" s="6"/>
      <c r="L36" s="6"/>
      <c r="M36" s="6"/>
      <c r="N36" s="6"/>
      <c r="O36" s="6"/>
      <c r="P36" s="6"/>
      <c r="Q36" s="6"/>
      <c r="R36" s="6"/>
      <c r="S36" s="6"/>
      <c r="T36" s="6"/>
      <c r="U36" s="6"/>
      <c r="V36" s="6"/>
      <c r="W36" s="6"/>
      <c r="X36" s="6"/>
      <c r="Y36" s="6"/>
      <c r="Z36" s="6"/>
    </row>
    <row r="37">
      <c r="A37" s="32" t="str">
        <f>IFERROR(__xludf.DUMMYFUNCTION("""COMPUTED_VALUE"""),"Rocketry")</f>
        <v>Rocketry</v>
      </c>
      <c r="B37" s="32" t="str">
        <f>IFERROR(__xludf.DUMMYFUNCTION("""COMPUTED_VALUE"""),"Orange -   Operations Safety (resolve in 2-3 business days)")</f>
        <v>Orange -   Operations Safety (resolve in 2-3 business days)</v>
      </c>
      <c r="C37" s="33" t="str">
        <f>IFERROR(__xludf.DUMMYFUNCTION("""COMPUTED_VALUE"""),"https://drive.google.com/open?id=1v_wL6ihOmYNmNpa0LP4SyI2JM7SoGNYP")</f>
        <v>https://drive.google.com/open?id=1v_wL6ihOmYNmNpa0LP4SyI2JM7SoGNYP</v>
      </c>
      <c r="D37" s="32" t="str">
        <f>IFERROR(__xludf.DUMMYFUNCTION("""COMPUTED_VALUE"""),"Empty and return recycling container")</f>
        <v>Empty and return recycling container</v>
      </c>
      <c r="E37" s="35">
        <f>IFERROR(__xludf.DUMMYFUNCTION("""COMPUTED_VALUE"""),46083.0)</f>
        <v>46083</v>
      </c>
      <c r="F37" s="6"/>
      <c r="G37" s="6"/>
      <c r="H37" s="6"/>
      <c r="I37" s="6"/>
      <c r="J37" s="6"/>
      <c r="K37" s="6"/>
      <c r="L37" s="6"/>
      <c r="M37" s="6"/>
      <c r="N37" s="6"/>
      <c r="O37" s="6"/>
      <c r="P37" s="6"/>
      <c r="Q37" s="6"/>
      <c r="R37" s="6"/>
      <c r="S37" s="6"/>
      <c r="T37" s="6"/>
      <c r="U37" s="6"/>
      <c r="V37" s="6"/>
      <c r="W37" s="6"/>
      <c r="X37" s="6"/>
      <c r="Y37" s="6"/>
      <c r="Z37" s="6"/>
    </row>
    <row r="38">
      <c r="A38" s="32" t="str">
        <f>IFERROR(__xludf.DUMMYFUNCTION("""COMPUTED_VALUE"""),"Unknown / unsure")</f>
        <v>Unknown / unsure</v>
      </c>
      <c r="B38" s="32" t="str">
        <f>IFERROR(__xludf.DUMMYFUNCTION("""COMPUTED_VALUE"""),"Yellow -   Stewardship Concern (resolve in 7-10 days)")</f>
        <v>Yellow -   Stewardship Concern (resolve in 7-10 days)</v>
      </c>
      <c r="C38" s="33" t="str">
        <f>IFERROR(__xludf.DUMMYFUNCTION("""COMPUTED_VALUE"""),"https://drive.google.com/open?id=1dAHvHu_sGzkcmCqsU--UuFco0dnsz7DR")</f>
        <v>https://drive.google.com/open?id=1dAHvHu_sGzkcmCqsU--UuFco0dnsz7DR</v>
      </c>
      <c r="D38" s="32" t="str">
        <f>IFERROR(__xludf.DUMMYFUNCTION("""COMPUTED_VALUE"""),"Consolidate work area and clear aisle")</f>
        <v>Consolidate work area and clear aisle</v>
      </c>
      <c r="E38" s="35">
        <f>IFERROR(__xludf.DUMMYFUNCTION("""COMPUTED_VALUE"""),46087.0)</f>
        <v>46087</v>
      </c>
      <c r="F38" s="6"/>
      <c r="G38" s="6"/>
      <c r="H38" s="6"/>
      <c r="I38" s="6"/>
      <c r="J38" s="6"/>
      <c r="K38" s="6"/>
      <c r="L38" s="6"/>
      <c r="M38" s="6"/>
      <c r="N38" s="6"/>
      <c r="O38" s="6"/>
      <c r="P38" s="6"/>
      <c r="Q38" s="6"/>
      <c r="R38" s="6"/>
      <c r="S38" s="6"/>
      <c r="T38" s="6"/>
      <c r="U38" s="6"/>
      <c r="V38" s="6"/>
      <c r="W38" s="6"/>
      <c r="X38" s="6"/>
      <c r="Y38" s="6"/>
      <c r="Z38" s="6"/>
    </row>
    <row r="39">
      <c r="A39" s="32" t="str">
        <f>IFERROR(__xludf.DUMMYFUNCTION("""COMPUTED_VALUE"""),"Baja")</f>
        <v>Baja</v>
      </c>
      <c r="B39" s="32" t="str">
        <f>IFERROR(__xludf.DUMMYFUNCTION("""COMPUTED_VALUE"""),"Yellow -   Stewardship Concern (resolve in 7-10 days)")</f>
        <v>Yellow -   Stewardship Concern (resolve in 7-10 days)</v>
      </c>
      <c r="C39" s="33" t="str">
        <f>IFERROR(__xludf.DUMMYFUNCTION("""COMPUTED_VALUE"""),"https://drive.google.com/open?id=1ocbQXMShsQdXb2SaCoh1_dJXSU7IB2xF")</f>
        <v>https://drive.google.com/open?id=1ocbQXMShsQdXb2SaCoh1_dJXSU7IB2xF</v>
      </c>
      <c r="D39" s="32" t="str">
        <f>IFERROR(__xludf.DUMMYFUNCTION("""COMPUTED_VALUE"""),"Move cars onto Cornell property near HVL. ")</f>
        <v>Move cars onto Cornell property near HVL. </v>
      </c>
      <c r="E39" s="35">
        <f>IFERROR(__xludf.DUMMYFUNCTION("""COMPUTED_VALUE"""),46102.0)</f>
        <v>46102</v>
      </c>
      <c r="F39" s="6"/>
      <c r="G39" s="6"/>
      <c r="H39" s="6"/>
      <c r="I39" s="6"/>
      <c r="J39" s="6"/>
      <c r="K39" s="6"/>
      <c r="L39" s="6"/>
      <c r="M39" s="6"/>
      <c r="N39" s="6"/>
      <c r="O39" s="6"/>
      <c r="P39" s="6"/>
      <c r="Q39" s="6"/>
      <c r="R39" s="6"/>
      <c r="S39" s="6"/>
      <c r="T39" s="6"/>
      <c r="U39" s="6"/>
      <c r="V39" s="6"/>
      <c r="W39" s="6"/>
      <c r="X39" s="6"/>
      <c r="Y39" s="6"/>
      <c r="Z39" s="6"/>
    </row>
    <row r="40">
      <c r="A40" s="32" t="str">
        <f>IFERROR(__xludf.DUMMYFUNCTION("""COMPUTED_VALUE"""),"CU Sail")</f>
        <v>CU Sail</v>
      </c>
      <c r="B40" s="32" t="str">
        <f>IFERROR(__xludf.DUMMYFUNCTION("""COMPUTED_VALUE"""),"Yellow -   Stewardship Concern (resolve in 7-10 days)")</f>
        <v>Yellow -   Stewardship Concern (resolve in 7-10 days)</v>
      </c>
      <c r="C40" s="33" t="str">
        <f>IFERROR(__xludf.DUMMYFUNCTION("""COMPUTED_VALUE"""),"https://drive.google.com/open?id=1gsRIqZ-1kiVnHYbPxfT1nURl-tigpH5i")</f>
        <v>https://drive.google.com/open?id=1gsRIqZ-1kiVnHYbPxfT1nURl-tigpH5i</v>
      </c>
      <c r="D40" s="32" t="str">
        <f>IFERROR(__xludf.DUMMYFUNCTION("""COMPUTED_VALUE"""),"Do not put hardening chemicals in paint funnel")</f>
        <v>Do not put hardening chemicals in paint funnel</v>
      </c>
      <c r="E40" s="35">
        <f>IFERROR(__xludf.DUMMYFUNCTION("""COMPUTED_VALUE"""),46102.0)</f>
        <v>46102</v>
      </c>
      <c r="F40" s="6"/>
      <c r="G40" s="6"/>
      <c r="H40" s="6"/>
      <c r="I40" s="6"/>
      <c r="J40" s="6"/>
      <c r="K40" s="6"/>
      <c r="L40" s="6"/>
      <c r="M40" s="6"/>
      <c r="N40" s="6"/>
      <c r="O40" s="6"/>
      <c r="P40" s="6"/>
      <c r="Q40" s="6"/>
      <c r="R40" s="6"/>
      <c r="S40" s="6"/>
      <c r="T40" s="6"/>
      <c r="U40" s="6"/>
      <c r="V40" s="6"/>
      <c r="W40" s="6"/>
      <c r="X40" s="6"/>
      <c r="Y40" s="6"/>
      <c r="Z40" s="6"/>
    </row>
    <row r="41">
      <c r="A41" s="32" t="str">
        <f>IFERROR(__xludf.DUMMYFUNCTION("""COMPUTED_VALUE"""),"CU Sail")</f>
        <v>CU Sail</v>
      </c>
      <c r="B41" s="32" t="str">
        <f>IFERROR(__xludf.DUMMYFUNCTION("""COMPUTED_VALUE"""),"Yellow -   Stewardship Concern (resolve in 7-10 days)")</f>
        <v>Yellow -   Stewardship Concern (resolve in 7-10 days)</v>
      </c>
      <c r="C41" s="33" t="str">
        <f>IFERROR(__xludf.DUMMYFUNCTION("""COMPUTED_VALUE"""),"https://drive.google.com/open?id=1F82Tvx4SilRigp6eDacyCLzAEgyw-uFI")</f>
        <v>https://drive.google.com/open?id=1F82Tvx4SilRigp6eDacyCLzAEgyw-uFI</v>
      </c>
      <c r="D41" s="32" t="str">
        <f>IFERROR(__xludf.DUMMYFUNCTION("""COMPUTED_VALUE"""),"Clean up after work sessions so paints and chemicals don’t get tracked across floor. ")</f>
        <v>Clean up after work sessions so paints and chemicals don’t get tracked across floor. </v>
      </c>
      <c r="E41" s="35">
        <f>IFERROR(__xludf.DUMMYFUNCTION("""COMPUTED_VALUE"""),46102.0)</f>
        <v>46102</v>
      </c>
      <c r="F41" s="6"/>
      <c r="G41" s="6"/>
      <c r="H41" s="6"/>
      <c r="I41" s="6"/>
      <c r="J41" s="6"/>
      <c r="K41" s="6"/>
      <c r="L41" s="6"/>
      <c r="M41" s="6"/>
      <c r="N41" s="6"/>
      <c r="O41" s="6"/>
      <c r="P41" s="6"/>
      <c r="Q41" s="6"/>
      <c r="R41" s="6"/>
      <c r="S41" s="6"/>
      <c r="T41" s="6"/>
      <c r="U41" s="6"/>
      <c r="V41" s="6"/>
      <c r="W41" s="6"/>
      <c r="X41" s="6"/>
      <c r="Y41" s="6"/>
      <c r="Z41" s="6"/>
    </row>
    <row r="42">
      <c r="A42" s="6" t="str">
        <f>IFERROR(__xludf.DUMMYFUNCTION("""COMPUTED_VALUE"""),"Baja")</f>
        <v>Baja</v>
      </c>
      <c r="B42" s="6" t="str">
        <f>IFERROR(__xludf.DUMMYFUNCTION("""COMPUTED_VALUE"""),"Red -   Code Compliance (same-day action Required)")</f>
        <v>Red -   Code Compliance (same-day action Required)</v>
      </c>
      <c r="C42" s="36" t="str">
        <f>IFERROR(__xludf.DUMMYFUNCTION("""COMPUTED_VALUE"""),"https://drive.google.com/open?id=1dUWD9AZ0oqOosQ33CrcMrOpY2daYJEtc")</f>
        <v>https://drive.google.com/open?id=1dUWD9AZ0oqOosQ33CrcMrOpY2daYJEtc</v>
      </c>
      <c r="D42" s="6" t="str">
        <f>IFERROR(__xludf.DUMMYFUNCTION("""COMPUTED_VALUE"""),"Please collect boxes from mail room asap. ")</f>
        <v>Please collect boxes from mail room asap. </v>
      </c>
      <c r="E42" s="37">
        <f>IFERROR(__xludf.DUMMYFUNCTION("""COMPUTED_VALUE"""),46105.0)</f>
        <v>46105</v>
      </c>
      <c r="F42" s="6"/>
      <c r="G42" s="6"/>
      <c r="H42" s="6"/>
      <c r="I42" s="6"/>
      <c r="J42" s="6"/>
      <c r="K42" s="6"/>
      <c r="L42" s="6"/>
      <c r="M42" s="6"/>
      <c r="N42" s="6"/>
      <c r="O42" s="6"/>
      <c r="P42" s="6"/>
      <c r="Q42" s="6"/>
      <c r="R42" s="6"/>
      <c r="S42" s="6"/>
      <c r="T42" s="6"/>
      <c r="U42" s="6"/>
      <c r="V42" s="6"/>
      <c r="W42" s="6"/>
      <c r="X42" s="6"/>
      <c r="Y42" s="6"/>
      <c r="Z42" s="6"/>
    </row>
    <row r="43">
      <c r="A43" s="6" t="str">
        <f>IFERROR(__xludf.DUMMYFUNCTION("""COMPUTED_VALUE"""),"CU Sail")</f>
        <v>CU Sail</v>
      </c>
      <c r="B43" s="6" t="str">
        <f>IFERROR(__xludf.DUMMYFUNCTION("""COMPUTED_VALUE"""),"Red -   Code Compliance (same-day action Required)")</f>
        <v>Red -   Code Compliance (same-day action Required)</v>
      </c>
      <c r="C43" s="36" t="str">
        <f>IFERROR(__xludf.DUMMYFUNCTION("""COMPUTED_VALUE"""),"https://drive.google.com/open?id=1XvsdCPXTvfjb9a21J4vl1XQqIMTGTpCI")</f>
        <v>https://drive.google.com/open?id=1XvsdCPXTvfjb9a21J4vl1XQqIMTGTpCI</v>
      </c>
      <c r="D43" s="6" t="str">
        <f>IFERROR(__xludf.DUMMYFUNCTION("""COMPUTED_VALUE"""),"Move boat and plywood stand asap so they do not block hallway. ")</f>
        <v>Move boat and plywood stand asap so they do not block hallway. </v>
      </c>
      <c r="E43" s="37">
        <f>IFERROR(__xludf.DUMMYFUNCTION("""COMPUTED_VALUE"""),46107.0)</f>
        <v>46107</v>
      </c>
      <c r="F43" s="6"/>
      <c r="G43" s="6"/>
      <c r="H43" s="6"/>
      <c r="I43" s="6"/>
      <c r="J43" s="6"/>
      <c r="K43" s="6"/>
      <c r="L43" s="6"/>
      <c r="M43" s="6"/>
      <c r="N43" s="6"/>
      <c r="O43" s="6"/>
      <c r="P43" s="6"/>
      <c r="Q43" s="6"/>
      <c r="R43" s="6"/>
      <c r="S43" s="6"/>
      <c r="T43" s="6"/>
      <c r="U43" s="6"/>
      <c r="V43" s="6"/>
      <c r="W43" s="6"/>
      <c r="X43" s="6"/>
      <c r="Y43" s="6"/>
      <c r="Z43" s="6"/>
    </row>
    <row r="44">
      <c r="A44" s="6" t="str">
        <f>IFERROR(__xludf.DUMMYFUNCTION("""COMPUTED_VALUE"""),"Formula")</f>
        <v>Formula</v>
      </c>
      <c r="B44" s="6" t="str">
        <f>IFERROR(__xludf.DUMMYFUNCTION("""COMPUTED_VALUE"""),"Red -   Code Compliance (same-day action Required)")</f>
        <v>Red -   Code Compliance (same-day action Required)</v>
      </c>
      <c r="C44" s="36" t="str">
        <f>IFERROR(__xludf.DUMMYFUNCTION("""COMPUTED_VALUE"""),"https://drive.google.com/open?id=1-ot_JLU13fRyngylhsY-gTNB_9h16agp")</f>
        <v>https://drive.google.com/open?id=1-ot_JLU13fRyngylhsY-gTNB_9h16agp</v>
      </c>
      <c r="D44" s="6" t="str">
        <f>IFERROR(__xludf.DUMMYFUNCTION("""COMPUTED_VALUE"""),"Move drum blocking fire extinguisher and open up building egress path. ")</f>
        <v>Move drum blocking fire extinguisher and open up building egress path. </v>
      </c>
      <c r="E44" s="37">
        <f>IFERROR(__xludf.DUMMYFUNCTION("""COMPUTED_VALUE"""),46127.0)</f>
        <v>46127</v>
      </c>
      <c r="F44" s="6"/>
      <c r="G44" s="6"/>
      <c r="H44" s="6"/>
      <c r="I44" s="6"/>
      <c r="J44" s="6"/>
      <c r="K44" s="6"/>
      <c r="L44" s="6"/>
      <c r="M44" s="6"/>
      <c r="N44" s="6"/>
      <c r="O44" s="6"/>
      <c r="P44" s="6"/>
      <c r="Q44" s="6"/>
      <c r="R44" s="6"/>
      <c r="S44" s="6"/>
      <c r="T44" s="6"/>
      <c r="U44" s="6"/>
      <c r="V44" s="6"/>
      <c r="W44" s="6"/>
      <c r="X44" s="6"/>
      <c r="Y44" s="6"/>
      <c r="Z44" s="6"/>
    </row>
    <row r="45">
      <c r="A45" s="6" t="str">
        <f>IFERROR(__xludf.DUMMYFUNCTION("""COMPUTED_VALUE"""),"Baja")</f>
        <v>Baja</v>
      </c>
      <c r="B45" s="6" t="str">
        <f>IFERROR(__xludf.DUMMYFUNCTION("""COMPUTED_VALUE"""),"Red -   Code Compliance (same-day action Required)")</f>
        <v>Red -   Code Compliance (same-day action Required)</v>
      </c>
      <c r="C45" s="36" t="str">
        <f>IFERROR(__xludf.DUMMYFUNCTION("""COMPUTED_VALUE"""),"https://drive.google.com/open?id=1hVGW4RTVkb3mmeajBbDi1odjULLxiaWG")</f>
        <v>https://drive.google.com/open?id=1hVGW4RTVkb3mmeajBbDi1odjULLxiaWG</v>
      </c>
      <c r="D45" s="6" t="str">
        <f>IFERROR(__xludf.DUMMYFUNCTION("""COMPUTED_VALUE"""),"Clear access to eye wash ")</f>
        <v>Clear access to eye wash </v>
      </c>
      <c r="E45" s="37">
        <f>IFERROR(__xludf.DUMMYFUNCTION("""COMPUTED_VALUE"""),46127.0)</f>
        <v>46127</v>
      </c>
      <c r="F45" s="6"/>
      <c r="G45" s="6"/>
      <c r="H45" s="6"/>
      <c r="I45" s="6"/>
      <c r="J45" s="6"/>
      <c r="K45" s="6"/>
      <c r="L45" s="6"/>
      <c r="M45" s="6"/>
      <c r="N45" s="6"/>
      <c r="O45" s="6"/>
      <c r="P45" s="6"/>
      <c r="Q45" s="6"/>
      <c r="R45" s="6"/>
      <c r="S45" s="6"/>
      <c r="T45" s="6"/>
      <c r="U45" s="6"/>
      <c r="V45" s="6"/>
      <c r="W45" s="6"/>
      <c r="X45" s="6"/>
      <c r="Y45" s="6"/>
      <c r="Z45" s="6"/>
    </row>
    <row r="46">
      <c r="A46" s="6" t="str">
        <f>IFERROR(__xludf.DUMMYFUNCTION("""COMPUTED_VALUE"""),"Baja")</f>
        <v>Baja</v>
      </c>
      <c r="B46" s="6" t="str">
        <f>IFERROR(__xludf.DUMMYFUNCTION("""COMPUTED_VALUE"""),"Red -   Code Compliance (same-day action Required)")</f>
        <v>Red -   Code Compliance (same-day action Required)</v>
      </c>
      <c r="C46" s="36" t="str">
        <f>IFERROR(__xludf.DUMMYFUNCTION("""COMPUTED_VALUE"""),"https://drive.google.com/open?id=1WLHH2FiMXsCTwKRs9YALBLYZMLSsa0lb")</f>
        <v>https://drive.google.com/open?id=1WLHH2FiMXsCTwKRs9YALBLYZMLSsa0lb</v>
      </c>
      <c r="D46" s="6" t="str">
        <f>IFERROR(__xludf.DUMMYFUNCTION("""COMPUTED_VALUE"""),"Clear access to panel and secure gas cylinder ")</f>
        <v>Clear access to panel and secure gas cylinder </v>
      </c>
      <c r="E46" s="37">
        <f>IFERROR(__xludf.DUMMYFUNCTION("""COMPUTED_VALUE"""),46127.0)</f>
        <v>46127</v>
      </c>
      <c r="F46" s="6"/>
      <c r="G46" s="6"/>
      <c r="H46" s="6"/>
      <c r="I46" s="6"/>
      <c r="J46" s="6"/>
      <c r="K46" s="6"/>
      <c r="L46" s="6"/>
      <c r="M46" s="6"/>
      <c r="N46" s="6"/>
      <c r="O46" s="6"/>
      <c r="P46" s="6"/>
      <c r="Q46" s="6"/>
      <c r="R46" s="6"/>
      <c r="S46" s="6"/>
      <c r="T46" s="6"/>
      <c r="U46" s="6"/>
      <c r="V46" s="6"/>
      <c r="W46" s="6"/>
      <c r="X46" s="6"/>
      <c r="Y46" s="6"/>
      <c r="Z46" s="6"/>
    </row>
    <row r="47">
      <c r="A47" s="6" t="str">
        <f>IFERROR(__xludf.DUMMYFUNCTION("""COMPUTED_VALUE"""),"Mars Rover")</f>
        <v>Mars Rover</v>
      </c>
      <c r="B47" s="6" t="str">
        <f>IFERROR(__xludf.DUMMYFUNCTION("""COMPUTED_VALUE"""),"Yellow -   Stewardship Concern (resolve in 7-10 days)")</f>
        <v>Yellow -   Stewardship Concern (resolve in 7-10 days)</v>
      </c>
      <c r="C47" s="36" t="str">
        <f>IFERROR(__xludf.DUMMYFUNCTION("""COMPUTED_VALUE"""),"https://drive.google.com/open?id=1_yoF506zHTqqo13tLAx5ooGjWFPE47GN")</f>
        <v>https://drive.google.com/open?id=1_yoF506zHTqqo13tLAx5ooGjWFPE47GN</v>
      </c>
      <c r="D47" s="6" t="str">
        <f>IFERROR(__xludf.DUMMYFUNCTION("""COMPUTED_VALUE"""),"Disassemble and or move test stand in Rhodes basement. Can move to storage shelves in HVL")</f>
        <v>Disassemble and or move test stand in Rhodes basement. Can move to storage shelves in HVL</v>
      </c>
      <c r="E47" s="37">
        <f>IFERROR(__xludf.DUMMYFUNCTION("""COMPUTED_VALUE"""),46128.0)</f>
        <v>46128</v>
      </c>
      <c r="F47" s="6"/>
      <c r="G47" s="6"/>
      <c r="H47" s="6"/>
      <c r="I47" s="6"/>
      <c r="J47" s="6"/>
      <c r="K47" s="6"/>
      <c r="L47" s="6"/>
      <c r="M47" s="6"/>
      <c r="N47" s="6"/>
      <c r="O47" s="6"/>
      <c r="P47" s="6"/>
      <c r="Q47" s="6"/>
      <c r="R47" s="6"/>
      <c r="S47" s="6"/>
      <c r="T47" s="6"/>
      <c r="U47" s="6"/>
      <c r="V47" s="6"/>
      <c r="W47" s="6"/>
      <c r="X47" s="6"/>
      <c r="Y47" s="6"/>
      <c r="Z47" s="6"/>
    </row>
    <row r="48">
      <c r="A48" s="6" t="str">
        <f>IFERROR(__xludf.DUMMYFUNCTION("""COMPUTED_VALUE"""),"Baja")</f>
        <v>Baja</v>
      </c>
      <c r="B48" s="6" t="str">
        <f>IFERROR(__xludf.DUMMYFUNCTION("""COMPUTED_VALUE"""),"Red -   Code Compliance (same-day action Required)")</f>
        <v>Red -   Code Compliance (same-day action Required)</v>
      </c>
      <c r="C48" s="36" t="str">
        <f>IFERROR(__xludf.DUMMYFUNCTION("""COMPUTED_VALUE"""),"https://drive.google.com/open?id=1NsfcWujvs3TTNRhilGEHClXymOREAUxF")</f>
        <v>https://drive.google.com/open?id=1NsfcWujvs3TTNRhilGEHClXymOREAUxF</v>
      </c>
      <c r="D48" s="6" t="str">
        <f>IFERROR(__xludf.DUMMYFUNCTION("""COMPUTED_VALUE"""),"Clear access to eye wash. ")</f>
        <v>Clear access to eye wash. </v>
      </c>
      <c r="E48" s="37">
        <f>IFERROR(__xludf.DUMMYFUNCTION("""COMPUTED_VALUE"""),46129.0)</f>
        <v>46129</v>
      </c>
      <c r="F48" s="6"/>
      <c r="G48" s="6"/>
      <c r="H48" s="6"/>
      <c r="I48" s="6"/>
      <c r="J48" s="6"/>
      <c r="K48" s="6"/>
      <c r="L48" s="6"/>
      <c r="M48" s="6"/>
      <c r="N48" s="6"/>
      <c r="O48" s="6"/>
      <c r="P48" s="6"/>
      <c r="Q48" s="6"/>
      <c r="R48" s="6"/>
      <c r="S48" s="6"/>
      <c r="T48" s="6"/>
      <c r="U48" s="6"/>
      <c r="V48" s="6"/>
      <c r="W48" s="6"/>
      <c r="X48" s="6"/>
      <c r="Y48" s="6"/>
      <c r="Z48" s="6"/>
    </row>
    <row r="49">
      <c r="A49" s="6" t="str">
        <f>IFERROR(__xludf.DUMMYFUNCTION("""COMPUTED_VALUE"""),"Rocketry")</f>
        <v>Rocketry</v>
      </c>
      <c r="B49" s="6" t="str">
        <f>IFERROR(__xludf.DUMMYFUNCTION("""COMPUTED_VALUE"""),"Red -   Code Compliance (same-day action Required)")</f>
        <v>Red -   Code Compliance (same-day action Required)</v>
      </c>
      <c r="C49" s="36" t="str">
        <f>IFERROR(__xludf.DUMMYFUNCTION("""COMPUTED_VALUE"""),"https://drive.google.com/open?id=1YMj0cKxb0eeWJV8k0_J-Y1PAr12tE_By")</f>
        <v>https://drive.google.com/open?id=1YMj0cKxb0eeWJV8k0_J-Y1PAr12tE_By</v>
      </c>
      <c r="D49" s="6" t="str">
        <f>IFERROR(__xludf.DUMMYFUNCTION("""COMPUTED_VALUE"""),"Move propane bottle to loading dock and label")</f>
        <v>Move propane bottle to loading dock and label</v>
      </c>
      <c r="E49" s="37">
        <f>IFERROR(__xludf.DUMMYFUNCTION("""COMPUTED_VALUE"""),46129.0)</f>
        <v>46129</v>
      </c>
      <c r="F49" s="6"/>
      <c r="G49" s="6"/>
      <c r="H49" s="6"/>
      <c r="I49" s="6"/>
      <c r="J49" s="6"/>
      <c r="K49" s="6"/>
      <c r="L49" s="6"/>
      <c r="M49" s="6"/>
      <c r="N49" s="6"/>
      <c r="O49" s="6"/>
      <c r="P49" s="6"/>
      <c r="Q49" s="6"/>
      <c r="R49" s="6"/>
      <c r="S49" s="6"/>
      <c r="T49" s="6"/>
      <c r="U49" s="6"/>
      <c r="V49" s="6"/>
      <c r="W49" s="6"/>
      <c r="X49" s="6"/>
      <c r="Y49" s="6"/>
      <c r="Z49" s="6"/>
    </row>
    <row r="50">
      <c r="A50" s="6" t="str">
        <f>IFERROR(__xludf.DUMMYFUNCTION("""COMPUTED_VALUE"""),"CEV")</f>
        <v>CEV</v>
      </c>
      <c r="B50" s="6" t="str">
        <f>IFERROR(__xludf.DUMMYFUNCTION("""COMPUTED_VALUE"""),"Orange -   Operations Safety (resolve in 2-3 business days)")</f>
        <v>Orange -   Operations Safety (resolve in 2-3 business days)</v>
      </c>
      <c r="C50" s="36" t="str">
        <f>IFERROR(__xludf.DUMMYFUNCTION("""COMPUTED_VALUE"""),"https://drive.google.com/open?id=1YCHh_AFaNIsLQ9vebjX5Ikf4TZYaXtg5")</f>
        <v>https://drive.google.com/open?id=1YCHh_AFaNIsLQ9vebjX5Ikf4TZYaXtg5</v>
      </c>
      <c r="D50" s="6" t="str">
        <f>IFERROR(__xludf.DUMMYFUNCTION("""COMPUTED_VALUE"""),"Assuming this is CEVs should not be left in hallway. ")</f>
        <v>Assuming this is CEVs should not be left in hallway. </v>
      </c>
      <c r="E50" s="37">
        <f>IFERROR(__xludf.DUMMYFUNCTION("""COMPUTED_VALUE"""),46143.0)</f>
        <v>46143</v>
      </c>
      <c r="F50" s="6"/>
      <c r="G50" s="6"/>
      <c r="H50" s="6"/>
      <c r="I50" s="6"/>
      <c r="J50" s="6"/>
      <c r="K50" s="6"/>
      <c r="L50" s="6"/>
      <c r="M50" s="6"/>
      <c r="N50" s="6"/>
      <c r="O50" s="6"/>
      <c r="P50" s="6"/>
      <c r="Q50" s="6"/>
      <c r="R50" s="6"/>
      <c r="S50" s="6"/>
      <c r="T50" s="6"/>
      <c r="U50" s="6"/>
      <c r="V50" s="6"/>
      <c r="W50" s="6"/>
      <c r="X50" s="6"/>
      <c r="Y50" s="6"/>
      <c r="Z50" s="6"/>
    </row>
    <row r="51">
      <c r="A51" s="6" t="str">
        <f>IFERROR(__xludf.DUMMYFUNCTION("""COMPUTED_VALUE"""),"Baja")</f>
        <v>Baja</v>
      </c>
      <c r="B51" s="6" t="str">
        <f>IFERROR(__xludf.DUMMYFUNCTION("""COMPUTED_VALUE"""),"Yellow -   Stewardship Concern (resolve in 7-10 days)")</f>
        <v>Yellow -   Stewardship Concern (resolve in 7-10 days)</v>
      </c>
      <c r="C51" s="36" t="str">
        <f>IFERROR(__xludf.DUMMYFUNCTION("""COMPUTED_VALUE"""),"https://drive.google.com/open?id=19DGewlgof6dncC8xL3R1sAWQLxyKGssZ")</f>
        <v>https://drive.google.com/open?id=19DGewlgof6dncC8xL3R1sAWQLxyKGssZ</v>
      </c>
      <c r="D51" s="6" t="str">
        <f>IFERROR(__xludf.DUMMYFUNCTION("""COMPUTED_VALUE"""),"Remove ‘baja’ paint from concrete wall")</f>
        <v>Remove ‘baja’ paint from concrete wall</v>
      </c>
      <c r="E51" s="37">
        <f>IFERROR(__xludf.DUMMYFUNCTION("""COMPUTED_VALUE"""),46146.0)</f>
        <v>46146</v>
      </c>
      <c r="F51" s="6"/>
      <c r="G51" s="6"/>
      <c r="H51" s="6"/>
      <c r="I51" s="6"/>
      <c r="J51" s="6"/>
      <c r="K51" s="6"/>
      <c r="L51" s="6"/>
      <c r="M51" s="6"/>
      <c r="N51" s="6"/>
      <c r="O51" s="6"/>
      <c r="P51" s="6"/>
      <c r="Q51" s="6"/>
      <c r="R51" s="6"/>
      <c r="S51" s="6"/>
      <c r="T51" s="6"/>
      <c r="U51" s="6"/>
      <c r="V51" s="6"/>
      <c r="W51" s="6"/>
      <c r="X51" s="6"/>
      <c r="Y51" s="6"/>
      <c r="Z51" s="6"/>
    </row>
    <row r="52">
      <c r="A52" s="6" t="str">
        <f>IFERROR(__xludf.DUMMYFUNCTION("""COMPUTED_VALUE"""),"Baja")</f>
        <v>Baja</v>
      </c>
      <c r="B52" s="6" t="str">
        <f>IFERROR(__xludf.DUMMYFUNCTION("""COMPUTED_VALUE"""),"Yellow -   Stewardship Concern (resolve in 7-10 days)")</f>
        <v>Yellow -   Stewardship Concern (resolve in 7-10 days)</v>
      </c>
      <c r="C52" s="36" t="str">
        <f>IFERROR(__xludf.DUMMYFUNCTION("""COMPUTED_VALUE"""),"https://drive.google.com/open?id=1IJtwfoPELePLNDC96MM-gKSGtG8qLH7Z")</f>
        <v>https://drive.google.com/open?id=1IJtwfoPELePLNDC96MM-gKSGtG8qLH7Z</v>
      </c>
      <c r="D52" s="6" t="str">
        <f>IFERROR(__xludf.DUMMYFUNCTION("""COMPUTED_VALUE"""),"B60 is looking pretty rough and needs to be cleaned. Pick everything up off the floor so building care can clean the carpet and minimize greasy / fab activity")</f>
        <v>B60 is looking pretty rough and needs to be cleaned. Pick everything up off the floor so building care can clean the carpet and minimize greasy / fab activity</v>
      </c>
      <c r="E52" s="37">
        <f>IFERROR(__xludf.DUMMYFUNCTION("""COMPUTED_VALUE"""),46150.0)</f>
        <v>46150</v>
      </c>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mergeCells count="1">
    <mergeCell ref="A1:E1"/>
  </mergeCells>
  <conditionalFormatting sqref="B2:E41 A3:A41">
    <cfRule type="expression" dxfId="5" priority="1">
      <formula>SEARCH("Red -", $B2)</formula>
    </cfRule>
  </conditionalFormatting>
  <conditionalFormatting sqref="B2:E41 A3:A41">
    <cfRule type="expression" dxfId="6" priority="2">
      <formula>SEARCH("Orange -", $B2)</formula>
    </cfRule>
  </conditionalFormatting>
  <conditionalFormatting sqref="B2:E41 A3:A41">
    <cfRule type="expression" dxfId="7" priority="3">
      <formula>SEARCH("Yellow -", $B2)</formula>
    </cfRule>
  </conditionalFormatting>
  <conditionalFormatting sqref="B2:E41 A3:A41">
    <cfRule type="expression" dxfId="8" priority="4">
      <formula>SEARCH("Ivory -", $B2)</formula>
    </cfRule>
  </conditionalFormatting>
  <conditionalFormatting sqref="B2:E41 A3:A41">
    <cfRule type="expression" dxfId="9" priority="5">
      <formula>SEARCH("Purple -", $B2)</formula>
    </cfRule>
  </conditionalFormatting>
  <hyperlinks>
    <hyperlink r:id="rId1" ref="C3"/>
    <hyperlink r:id="rId2" ref="C4"/>
    <hyperlink r:id="rId3" ref="C5"/>
    <hyperlink r:id="rId4" ref="C6"/>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s>
  <drawing r:id="rId48"/>
  <tableParts count="1">
    <tablePart r:id="rId5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267</v>
      </c>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23.5"/>
    <col customWidth="1" min="3" max="3" width="45.5"/>
    <col customWidth="1" min="4" max="4" width="15.25"/>
    <col customWidth="1" min="5" max="5" width="14.63"/>
    <col customWidth="1" min="13" max="13" width="15.0"/>
  </cols>
  <sheetData>
    <row r="1">
      <c r="A1" s="39" t="s">
        <v>268</v>
      </c>
      <c r="B1" s="39" t="s">
        <v>269</v>
      </c>
      <c r="C1" s="39" t="s">
        <v>270</v>
      </c>
      <c r="D1" s="39" t="s">
        <v>271</v>
      </c>
      <c r="E1" s="39" t="s">
        <v>272</v>
      </c>
      <c r="F1" s="39"/>
      <c r="G1" s="40" t="s">
        <v>273</v>
      </c>
      <c r="J1" s="41"/>
      <c r="K1" s="42"/>
      <c r="L1" s="42"/>
      <c r="M1" s="39" t="s">
        <v>274</v>
      </c>
      <c r="N1" s="39" t="s">
        <v>275</v>
      </c>
      <c r="O1" s="42"/>
      <c r="P1" s="42"/>
      <c r="Q1" s="42"/>
      <c r="R1" s="42"/>
      <c r="S1" s="42"/>
      <c r="T1" s="42"/>
      <c r="U1" s="42"/>
      <c r="V1" s="42"/>
      <c r="W1" s="42"/>
      <c r="X1" s="42"/>
      <c r="Y1" s="42"/>
      <c r="Z1" s="42"/>
      <c r="AA1" s="42"/>
      <c r="AB1" s="42"/>
    </row>
    <row r="2">
      <c r="A2" s="43" t="str">
        <f t="shared" ref="A2:D2" si="1">#REF!</f>
        <v>#REF!</v>
      </c>
      <c r="B2" s="43" t="str">
        <f t="shared" si="1"/>
        <v>#REF!</v>
      </c>
      <c r="C2" s="43" t="str">
        <f t="shared" si="1"/>
        <v>#REF!</v>
      </c>
      <c r="D2" s="43" t="str">
        <f t="shared" si="1"/>
        <v>#REF!</v>
      </c>
      <c r="E2" s="43" t="str">
        <f t="shared" ref="E2:E21" si="3">WEEKNUM(D2)-38</f>
        <v>#REF!</v>
      </c>
      <c r="G2" s="44"/>
      <c r="J2" s="45"/>
      <c r="M2" s="46">
        <v>0.0</v>
      </c>
      <c r="N2" s="46">
        <f t="shared" ref="N2:N65" si="4">COUNTIF(E2:E100, M2)</f>
        <v>6</v>
      </c>
    </row>
    <row r="3">
      <c r="A3" s="43" t="str">
        <f t="shared" ref="A3:D3" si="2">#REF!</f>
        <v>#REF!</v>
      </c>
      <c r="B3" s="43" t="str">
        <f t="shared" si="2"/>
        <v>#REF!</v>
      </c>
      <c r="C3" s="43" t="str">
        <f t="shared" si="2"/>
        <v>#REF!</v>
      </c>
      <c r="D3" s="43" t="str">
        <f t="shared" si="2"/>
        <v>#REF!</v>
      </c>
      <c r="E3" s="43" t="str">
        <f t="shared" si="3"/>
        <v>#REF!</v>
      </c>
      <c r="G3" s="44"/>
      <c r="J3" s="45"/>
      <c r="M3" s="46">
        <v>1.0</v>
      </c>
      <c r="N3" s="46">
        <f t="shared" si="4"/>
        <v>0</v>
      </c>
    </row>
    <row r="4">
      <c r="A4" s="43" t="str">
        <f t="shared" ref="A4:D4" si="5">#REF!</f>
        <v>#REF!</v>
      </c>
      <c r="B4" s="43" t="str">
        <f t="shared" si="5"/>
        <v>#REF!</v>
      </c>
      <c r="C4" s="43" t="str">
        <f t="shared" si="5"/>
        <v>#REF!</v>
      </c>
      <c r="D4" s="43" t="str">
        <f t="shared" si="5"/>
        <v>#REF!</v>
      </c>
      <c r="E4" s="43" t="str">
        <f t="shared" si="3"/>
        <v>#REF!</v>
      </c>
      <c r="G4" s="44"/>
      <c r="J4" s="45"/>
      <c r="M4" s="46">
        <v>2.0</v>
      </c>
      <c r="N4" s="46">
        <f t="shared" si="4"/>
        <v>7</v>
      </c>
    </row>
    <row r="5">
      <c r="A5" s="43" t="str">
        <f t="shared" ref="A5:D5" si="6">#REF!</f>
        <v>#REF!</v>
      </c>
      <c r="B5" s="43" t="str">
        <f t="shared" si="6"/>
        <v>#REF!</v>
      </c>
      <c r="C5" s="43" t="str">
        <f t="shared" si="6"/>
        <v>#REF!</v>
      </c>
      <c r="D5" s="43" t="str">
        <f t="shared" si="6"/>
        <v>#REF!</v>
      </c>
      <c r="E5" s="43" t="str">
        <f t="shared" si="3"/>
        <v>#REF!</v>
      </c>
      <c r="G5" s="44"/>
      <c r="J5" s="45"/>
      <c r="M5" s="46">
        <v>3.0</v>
      </c>
      <c r="N5" s="46">
        <f t="shared" si="4"/>
        <v>0</v>
      </c>
    </row>
    <row r="6">
      <c r="A6" s="43" t="str">
        <f t="shared" ref="A6:D6" si="7">#REF!</f>
        <v>#REF!</v>
      </c>
      <c r="B6" s="43" t="str">
        <f t="shared" si="7"/>
        <v>#REF!</v>
      </c>
      <c r="C6" s="43" t="str">
        <f t="shared" si="7"/>
        <v>#REF!</v>
      </c>
      <c r="D6" s="43" t="str">
        <f t="shared" si="7"/>
        <v>#REF!</v>
      </c>
      <c r="E6" s="43" t="str">
        <f t="shared" si="3"/>
        <v>#REF!</v>
      </c>
      <c r="G6" s="44"/>
      <c r="J6" s="45"/>
      <c r="M6" s="46">
        <v>4.0</v>
      </c>
      <c r="N6" s="46">
        <f t="shared" si="4"/>
        <v>0</v>
      </c>
    </row>
    <row r="7">
      <c r="A7" s="43" t="str">
        <f t="shared" ref="A7:D7" si="8">#REF!</f>
        <v>#REF!</v>
      </c>
      <c r="B7" s="43" t="str">
        <f t="shared" si="8"/>
        <v>#REF!</v>
      </c>
      <c r="C7" s="43" t="str">
        <f t="shared" si="8"/>
        <v>#REF!</v>
      </c>
      <c r="D7" s="43" t="str">
        <f t="shared" si="8"/>
        <v>#REF!</v>
      </c>
      <c r="E7" s="43" t="str">
        <f t="shared" si="3"/>
        <v>#REF!</v>
      </c>
      <c r="G7" s="44"/>
      <c r="J7" s="45"/>
      <c r="M7" s="46">
        <v>5.0</v>
      </c>
      <c r="N7" s="46">
        <f t="shared" si="4"/>
        <v>0</v>
      </c>
    </row>
    <row r="8">
      <c r="A8" s="43" t="str">
        <f t="shared" ref="A8:D8" si="9">#REF!</f>
        <v>#REF!</v>
      </c>
      <c r="B8" s="43" t="str">
        <f t="shared" si="9"/>
        <v>#REF!</v>
      </c>
      <c r="C8" s="43" t="str">
        <f t="shared" si="9"/>
        <v>#REF!</v>
      </c>
      <c r="D8" s="43" t="str">
        <f t="shared" si="9"/>
        <v>#REF!</v>
      </c>
      <c r="E8" s="43" t="str">
        <f t="shared" si="3"/>
        <v>#REF!</v>
      </c>
      <c r="G8" s="44"/>
      <c r="J8" s="45"/>
      <c r="M8" s="46">
        <v>6.0</v>
      </c>
      <c r="N8" s="46">
        <f t="shared" si="4"/>
        <v>0</v>
      </c>
    </row>
    <row r="9">
      <c r="A9" s="43" t="str">
        <f>'Form Responses'!D2</f>
        <v>steel bridge</v>
      </c>
      <c r="B9" s="43" t="str">
        <f>'Form Responses'!G2</f>
        <v>Housekeeping</v>
      </c>
      <c r="C9" s="43" t="str">
        <f>'Form Responses'!E2</f>
        <v>Yellow - Stewardship concern (Address at next scheduled meeting)</v>
      </c>
      <c r="D9" s="47">
        <f>'Form Responses'!A2</f>
        <v>45918.38861</v>
      </c>
      <c r="E9" s="43">
        <f t="shared" si="3"/>
        <v>0</v>
      </c>
      <c r="G9" s="44"/>
      <c r="J9" s="45"/>
      <c r="M9" s="46">
        <v>7.0</v>
      </c>
      <c r="N9" s="46">
        <f t="shared" si="4"/>
        <v>0</v>
      </c>
    </row>
    <row r="10">
      <c r="A10" s="43" t="str">
        <f>'Form Responses'!D3</f>
        <v>concrete canoe</v>
      </c>
      <c r="B10" s="43" t="str">
        <f>'Form Responses'!G3</f>
        <v>Shared space (misuse of)</v>
      </c>
      <c r="C10" s="43" t="str">
        <f>'Form Responses'!E3</f>
        <v>Yellow - Stewardship concern (Address at next scheduled meeting)</v>
      </c>
      <c r="D10" s="47">
        <f>'Form Responses'!A3</f>
        <v>45918.39158</v>
      </c>
      <c r="E10" s="43">
        <f t="shared" si="3"/>
        <v>0</v>
      </c>
      <c r="G10" s="44"/>
      <c r="J10" s="45"/>
      <c r="M10" s="46">
        <v>8.0</v>
      </c>
      <c r="N10" s="46">
        <f t="shared" si="4"/>
        <v>0</v>
      </c>
    </row>
    <row r="11">
      <c r="A11" s="43" t="str">
        <f>'Form Responses'!D4</f>
        <v>Formula</v>
      </c>
      <c r="B11" s="43" t="str">
        <f>'Form Responses'!G4</f>
        <v>Shared space (misuse of)</v>
      </c>
      <c r="C11" s="43" t="str">
        <f>'Form Responses'!E4</f>
        <v>Yellow - Stewardship concern (Address at next scheduled meeting)</v>
      </c>
      <c r="D11" s="47">
        <f>'Form Responses'!A4</f>
        <v>45918.39508</v>
      </c>
      <c r="E11" s="43">
        <f t="shared" si="3"/>
        <v>0</v>
      </c>
      <c r="G11" s="44"/>
      <c r="J11" s="45"/>
      <c r="M11" s="46">
        <v>9.0</v>
      </c>
      <c r="N11" s="46">
        <f t="shared" si="4"/>
        <v>0</v>
      </c>
    </row>
    <row r="12">
      <c r="A12" s="43" t="str">
        <f>'Form Responses'!D5</f>
        <v>concrete canoe</v>
      </c>
      <c r="B12" s="43" t="str">
        <f>'Form Responses'!G5</f>
        <v>Housekeeping</v>
      </c>
      <c r="C12" s="43" t="str">
        <f>'Form Responses'!E5</f>
        <v>Yellow - Stewardship concern (Address at next scheduled meeting)</v>
      </c>
      <c r="D12" s="47">
        <f>'Form Responses'!A5</f>
        <v>45918.39808</v>
      </c>
      <c r="E12" s="43">
        <f t="shared" si="3"/>
        <v>0</v>
      </c>
      <c r="G12" s="44"/>
      <c r="J12" s="45"/>
      <c r="M12" s="46">
        <v>10.0</v>
      </c>
      <c r="N12" s="46">
        <f t="shared" si="4"/>
        <v>0</v>
      </c>
    </row>
    <row r="13">
      <c r="A13" s="43" t="str">
        <f>'Form Responses'!D6</f>
        <v>Formula</v>
      </c>
      <c r="B13" s="43" t="str">
        <f>'Form Responses'!G6</f>
        <v>Shared space (misuse of)</v>
      </c>
      <c r="C13" s="43" t="str">
        <f>'Form Responses'!E6</f>
        <v>Orange - Operations/ Safety issue (resolve in 2-3 business days)</v>
      </c>
      <c r="D13" s="47">
        <f>'Form Responses'!A6</f>
        <v>45918.62065</v>
      </c>
      <c r="E13" s="43">
        <f t="shared" si="3"/>
        <v>0</v>
      </c>
      <c r="G13" s="44"/>
      <c r="J13" s="45"/>
      <c r="M13" s="46">
        <v>11.0</v>
      </c>
      <c r="N13" s="46">
        <f t="shared" si="4"/>
        <v>0</v>
      </c>
    </row>
    <row r="14">
      <c r="A14" s="43" t="str">
        <f>'Form Responses'!D7</f>
        <v>concrete canoe</v>
      </c>
      <c r="B14" s="43" t="str">
        <f>'Form Responses'!G7</f>
        <v>Fire / electrical (code violation)</v>
      </c>
      <c r="C14" s="43" t="str">
        <f>'Form Responses'!E7</f>
        <v>Red - Code violation (immediate action Required)</v>
      </c>
      <c r="D14" s="47">
        <f>'Form Responses'!A7</f>
        <v>45919.7184</v>
      </c>
      <c r="E14" s="43">
        <f t="shared" si="3"/>
        <v>0</v>
      </c>
      <c r="G14" s="44"/>
      <c r="J14" s="45"/>
      <c r="M14" s="46">
        <v>12.0</v>
      </c>
      <c r="N14" s="46">
        <f t="shared" si="4"/>
        <v>0</v>
      </c>
    </row>
    <row r="15">
      <c r="A15" s="43" t="str">
        <f>'Form Responses'!D8</f>
        <v>Mars Rover</v>
      </c>
      <c r="B15" s="43" t="str">
        <f>'Form Responses'!G8</f>
        <v>Egress / access</v>
      </c>
      <c r="C15" s="43" t="str">
        <f>'Form Responses'!E8</f>
        <v>Yellow - Stewardship concern (Address at next scheduled meeting)</v>
      </c>
      <c r="D15" s="47">
        <f>'Form Responses'!A8</f>
        <v>45932.63766</v>
      </c>
      <c r="E15" s="43">
        <f t="shared" si="3"/>
        <v>2</v>
      </c>
      <c r="G15" s="44"/>
      <c r="J15" s="45"/>
      <c r="M15" s="46">
        <v>13.0</v>
      </c>
      <c r="N15" s="46">
        <f t="shared" si="4"/>
        <v>0</v>
      </c>
    </row>
    <row r="16">
      <c r="A16" s="43" t="str">
        <f>'Form Responses'!D9</f>
        <v>DEBUT</v>
      </c>
      <c r="B16" s="43" t="str">
        <f>'Form Responses'!G9</f>
        <v>Fire / electrical (code violation)</v>
      </c>
      <c r="C16" s="43" t="str">
        <f>'Form Responses'!E9</f>
        <v>Red - Code violation (immediate action Required)</v>
      </c>
      <c r="D16" s="47">
        <f>'Form Responses'!A9</f>
        <v>45932.69484</v>
      </c>
      <c r="E16" s="43">
        <f t="shared" si="3"/>
        <v>2</v>
      </c>
      <c r="G16" s="44"/>
      <c r="J16" s="45"/>
      <c r="M16" s="46">
        <v>14.0</v>
      </c>
      <c r="N16" s="46">
        <f t="shared" si="4"/>
        <v>0</v>
      </c>
    </row>
    <row r="17">
      <c r="A17" s="43" t="str">
        <f>'Form Responses'!D10</f>
        <v>Operations Team</v>
      </c>
      <c r="B17" s="43" t="str">
        <f>'Form Responses'!G10</f>
        <v>Unsafe Work Practices</v>
      </c>
      <c r="C17" s="43" t="str">
        <f>'Form Responses'!E10</f>
        <v>Yellow - Stewardship concern (Address at next scheduled meeting)</v>
      </c>
      <c r="D17" s="47">
        <f>'Form Responses'!A10</f>
        <v>45933.38387</v>
      </c>
      <c r="E17" s="43">
        <f t="shared" si="3"/>
        <v>2</v>
      </c>
      <c r="G17" s="44"/>
      <c r="J17" s="45"/>
      <c r="M17" s="46">
        <v>15.0</v>
      </c>
      <c r="N17" s="46">
        <f t="shared" si="4"/>
        <v>0</v>
      </c>
    </row>
    <row r="18">
      <c r="A18" s="43" t="str">
        <f>'Form Responses'!D11</f>
        <v>Operations Team</v>
      </c>
      <c r="B18" s="43" t="str">
        <f>'Form Responses'!G11</f>
        <v>Maintenance/ facilities </v>
      </c>
      <c r="C18" s="43" t="str">
        <f>'Form Responses'!E11</f>
        <v>Ivory -  Below standard (demonstrate improvement in 14-21 days)</v>
      </c>
      <c r="D18" s="47">
        <f>'Form Responses'!A11</f>
        <v>45933.39583</v>
      </c>
      <c r="E18" s="43">
        <f t="shared" si="3"/>
        <v>2</v>
      </c>
      <c r="G18" s="44"/>
      <c r="J18" s="45"/>
      <c r="M18" s="46">
        <v>16.0</v>
      </c>
      <c r="N18" s="46">
        <f t="shared" si="4"/>
        <v>0</v>
      </c>
    </row>
    <row r="19">
      <c r="A19" s="43" t="str">
        <f>'Form Responses'!D12</f>
        <v>Operations Team</v>
      </c>
      <c r="B19" s="43" t="str">
        <f>'Form Responses'!G12</f>
        <v>Unsafe Work Practices</v>
      </c>
      <c r="C19" s="43" t="str">
        <f>'Form Responses'!E12</f>
        <v>Yellow - Stewardship concern (Address at next scheduled meeting)</v>
      </c>
      <c r="D19" s="47">
        <f>'Form Responses'!A12</f>
        <v>45933.39787</v>
      </c>
      <c r="E19" s="43">
        <f t="shared" si="3"/>
        <v>2</v>
      </c>
      <c r="G19" s="44"/>
      <c r="J19" s="45"/>
      <c r="M19" s="46">
        <v>17.0</v>
      </c>
      <c r="N19" s="46">
        <f t="shared" si="4"/>
        <v>0</v>
      </c>
    </row>
    <row r="20">
      <c r="A20" s="43" t="str">
        <f>'Form Responses'!D13</f>
        <v>Operations Team</v>
      </c>
      <c r="B20" s="43" t="str">
        <f>'Form Responses'!G13</f>
        <v>Fire / electrical (code violation)</v>
      </c>
      <c r="C20" s="43" t="str">
        <f>'Form Responses'!E13</f>
        <v>Yellow - Stewardship concern (Address at next scheduled meeting)</v>
      </c>
      <c r="D20" s="47">
        <f>'Form Responses'!A13</f>
        <v>45933.39945</v>
      </c>
      <c r="E20" s="43">
        <f t="shared" si="3"/>
        <v>2</v>
      </c>
      <c r="G20" s="44"/>
      <c r="J20" s="45"/>
      <c r="M20" s="46">
        <v>18.0</v>
      </c>
      <c r="N20" s="46">
        <f t="shared" si="4"/>
        <v>0</v>
      </c>
    </row>
    <row r="21">
      <c r="A21" s="43" t="str">
        <f>'Form Responses'!D14</f>
        <v>Operations Team</v>
      </c>
      <c r="B21" s="43" t="str">
        <f>'Form Responses'!G14</f>
        <v>Maintenance/ facilities </v>
      </c>
      <c r="C21" s="43" t="str">
        <f>'Form Responses'!E14</f>
        <v>Purple - Opportunity for improvement (as time permits) </v>
      </c>
      <c r="D21" s="47">
        <f>'Form Responses'!A14</f>
        <v>45933.40274</v>
      </c>
      <c r="E21" s="43">
        <f t="shared" si="3"/>
        <v>2</v>
      </c>
      <c r="G21" s="44"/>
      <c r="J21" s="45"/>
      <c r="M21" s="46">
        <v>19.0</v>
      </c>
      <c r="N21" s="46">
        <f t="shared" si="4"/>
        <v>0</v>
      </c>
    </row>
    <row r="22">
      <c r="A22" s="43" t="str">
        <f>'Form Responses'!D105</f>
        <v/>
      </c>
      <c r="B22" s="43" t="str">
        <f>'Form Responses'!G105</f>
        <v/>
      </c>
      <c r="C22" s="43" t="str">
        <f>'Form Responses'!E105</f>
        <v/>
      </c>
      <c r="D22" s="47" t="str">
        <f>'Form Responses'!A105</f>
        <v/>
      </c>
      <c r="G22" s="44"/>
      <c r="J22" s="45"/>
      <c r="M22" s="46">
        <v>20.0</v>
      </c>
      <c r="N22" s="46">
        <f t="shared" si="4"/>
        <v>0</v>
      </c>
    </row>
    <row r="23">
      <c r="A23" s="43" t="str">
        <f>'Form Responses'!D106</f>
        <v/>
      </c>
      <c r="B23" s="43" t="str">
        <f>'Form Responses'!G106</f>
        <v/>
      </c>
      <c r="C23" s="43" t="str">
        <f>'Form Responses'!E106</f>
        <v/>
      </c>
      <c r="D23" s="47" t="str">
        <f>'Form Responses'!A106</f>
        <v/>
      </c>
      <c r="G23" s="44"/>
      <c r="J23" s="45"/>
      <c r="M23" s="46">
        <v>21.0</v>
      </c>
      <c r="N23" s="46">
        <f t="shared" si="4"/>
        <v>0</v>
      </c>
    </row>
    <row r="24">
      <c r="A24" s="43" t="str">
        <f>'Form Responses'!D107</f>
        <v/>
      </c>
      <c r="B24" s="43" t="str">
        <f>'Form Responses'!G107</f>
        <v/>
      </c>
      <c r="C24" s="43" t="str">
        <f>'Form Responses'!E107</f>
        <v/>
      </c>
      <c r="D24" s="47" t="str">
        <f>'Form Responses'!A107</f>
        <v/>
      </c>
      <c r="G24" s="44"/>
      <c r="J24" s="45"/>
      <c r="M24" s="46">
        <v>22.0</v>
      </c>
      <c r="N24" s="46">
        <f t="shared" si="4"/>
        <v>0</v>
      </c>
    </row>
    <row r="25">
      <c r="A25" s="43" t="str">
        <f>'Form Responses'!D108</f>
        <v/>
      </c>
      <c r="B25" s="43" t="str">
        <f>'Form Responses'!G108</f>
        <v/>
      </c>
      <c r="C25" s="43" t="str">
        <f>'Form Responses'!E108</f>
        <v/>
      </c>
      <c r="D25" s="47" t="str">
        <f>'Form Responses'!A108</f>
        <v/>
      </c>
      <c r="G25" s="44"/>
      <c r="J25" s="45"/>
      <c r="M25" s="46">
        <v>23.0</v>
      </c>
      <c r="N25" s="46">
        <f t="shared" si="4"/>
        <v>0</v>
      </c>
    </row>
    <row r="26">
      <c r="A26" s="43" t="str">
        <f>'Form Responses'!D109</f>
        <v/>
      </c>
      <c r="B26" s="43" t="str">
        <f>'Form Responses'!G109</f>
        <v/>
      </c>
      <c r="C26" s="43" t="str">
        <f>'Form Responses'!E109</f>
        <v/>
      </c>
      <c r="D26" s="47" t="str">
        <f>'Form Responses'!A109</f>
        <v/>
      </c>
      <c r="G26" s="44"/>
      <c r="J26" s="45"/>
      <c r="M26" s="46">
        <v>24.0</v>
      </c>
      <c r="N26" s="46">
        <f t="shared" si="4"/>
        <v>0</v>
      </c>
    </row>
    <row r="27">
      <c r="A27" s="43" t="str">
        <f>'Form Responses'!D110</f>
        <v/>
      </c>
      <c r="B27" s="43" t="str">
        <f>'Form Responses'!G110</f>
        <v/>
      </c>
      <c r="C27" s="43" t="str">
        <f>'Form Responses'!E110</f>
        <v/>
      </c>
      <c r="D27" s="47" t="str">
        <f>'Form Responses'!A110</f>
        <v/>
      </c>
      <c r="G27" s="44"/>
      <c r="J27" s="45"/>
      <c r="M27" s="46">
        <v>25.0</v>
      </c>
      <c r="N27" s="46">
        <f t="shared" si="4"/>
        <v>0</v>
      </c>
    </row>
    <row r="28">
      <c r="A28" s="43" t="str">
        <f>'Form Responses'!D111</f>
        <v/>
      </c>
      <c r="B28" s="43" t="str">
        <f>'Form Responses'!G111</f>
        <v/>
      </c>
      <c r="C28" s="43" t="str">
        <f>'Form Responses'!E111</f>
        <v/>
      </c>
      <c r="D28" s="47" t="str">
        <f>'Form Responses'!A111</f>
        <v/>
      </c>
      <c r="G28" s="44"/>
      <c r="J28" s="45"/>
      <c r="M28" s="46">
        <v>26.0</v>
      </c>
      <c r="N28" s="46">
        <f t="shared" si="4"/>
        <v>0</v>
      </c>
    </row>
    <row r="29">
      <c r="A29" s="43" t="str">
        <f>'Form Responses'!D112</f>
        <v/>
      </c>
      <c r="B29" s="43" t="str">
        <f>'Form Responses'!G112</f>
        <v/>
      </c>
      <c r="C29" s="43" t="str">
        <f>'Form Responses'!E112</f>
        <v/>
      </c>
      <c r="D29" s="47" t="str">
        <f>'Form Responses'!A112</f>
        <v/>
      </c>
      <c r="G29" s="44"/>
      <c r="J29" s="45"/>
      <c r="M29" s="46">
        <v>27.0</v>
      </c>
      <c r="N29" s="46">
        <f t="shared" si="4"/>
        <v>0</v>
      </c>
    </row>
    <row r="30">
      <c r="A30" s="43" t="str">
        <f>'Form Responses'!D113</f>
        <v/>
      </c>
      <c r="B30" s="43" t="str">
        <f>'Form Responses'!G113</f>
        <v/>
      </c>
      <c r="C30" s="43" t="str">
        <f>'Form Responses'!E113</f>
        <v/>
      </c>
      <c r="D30" s="47" t="str">
        <f>'Form Responses'!A113</f>
        <v/>
      </c>
      <c r="G30" s="44"/>
      <c r="J30" s="45"/>
      <c r="M30" s="46">
        <v>28.0</v>
      </c>
      <c r="N30" s="46">
        <f t="shared" si="4"/>
        <v>0</v>
      </c>
    </row>
    <row r="31">
      <c r="A31" s="43" t="str">
        <f>'Form Responses'!D114</f>
        <v/>
      </c>
      <c r="B31" s="43" t="str">
        <f>'Form Responses'!G114</f>
        <v/>
      </c>
      <c r="C31" s="43" t="str">
        <f>'Form Responses'!E114</f>
        <v/>
      </c>
      <c r="D31" s="47" t="str">
        <f>'Form Responses'!A114</f>
        <v/>
      </c>
      <c r="G31" s="44"/>
      <c r="J31" s="45"/>
      <c r="M31" s="46">
        <v>29.0</v>
      </c>
      <c r="N31" s="46">
        <f t="shared" si="4"/>
        <v>0</v>
      </c>
    </row>
    <row r="32">
      <c r="A32" s="43" t="str">
        <f>'Form Responses'!D115</f>
        <v/>
      </c>
      <c r="B32" s="43" t="str">
        <f>'Form Responses'!G115</f>
        <v/>
      </c>
      <c r="C32" s="43" t="str">
        <f>'Form Responses'!E115</f>
        <v/>
      </c>
      <c r="D32" s="47" t="str">
        <f>'Form Responses'!A115</f>
        <v/>
      </c>
      <c r="G32" s="44"/>
      <c r="J32" s="45"/>
      <c r="M32" s="46">
        <v>30.0</v>
      </c>
      <c r="N32" s="46">
        <f t="shared" si="4"/>
        <v>0</v>
      </c>
    </row>
    <row r="33">
      <c r="A33" s="43" t="str">
        <f>'Form Responses'!D116</f>
        <v/>
      </c>
      <c r="B33" s="43" t="str">
        <f>'Form Responses'!G116</f>
        <v/>
      </c>
      <c r="C33" s="43" t="str">
        <f>'Form Responses'!E116</f>
        <v/>
      </c>
      <c r="D33" s="47" t="str">
        <f>'Form Responses'!A116</f>
        <v/>
      </c>
      <c r="G33" s="44"/>
      <c r="J33" s="45"/>
      <c r="M33" s="46">
        <v>31.0</v>
      </c>
      <c r="N33" s="46">
        <f t="shared" si="4"/>
        <v>0</v>
      </c>
    </row>
    <row r="34">
      <c r="A34" s="43" t="str">
        <f>'Form Responses'!D117</f>
        <v/>
      </c>
      <c r="B34" s="43" t="str">
        <f>'Form Responses'!G117</f>
        <v/>
      </c>
      <c r="C34" s="43" t="str">
        <f>'Form Responses'!E117</f>
        <v/>
      </c>
      <c r="D34" s="47" t="str">
        <f>'Form Responses'!A117</f>
        <v/>
      </c>
      <c r="G34" s="44"/>
      <c r="J34" s="45"/>
      <c r="M34" s="46">
        <v>32.0</v>
      </c>
      <c r="N34" s="46">
        <f t="shared" si="4"/>
        <v>0</v>
      </c>
    </row>
    <row r="35">
      <c r="A35" s="43" t="str">
        <f>'Form Responses'!D118</f>
        <v/>
      </c>
      <c r="B35" s="43" t="str">
        <f>'Form Responses'!G118</f>
        <v/>
      </c>
      <c r="C35" s="43" t="str">
        <f>'Form Responses'!E118</f>
        <v/>
      </c>
      <c r="D35" s="47" t="str">
        <f>'Form Responses'!A118</f>
        <v/>
      </c>
      <c r="G35" s="44"/>
      <c r="J35" s="45"/>
      <c r="M35" s="46">
        <v>33.0</v>
      </c>
      <c r="N35" s="46">
        <f t="shared" si="4"/>
        <v>0</v>
      </c>
    </row>
    <row r="36">
      <c r="A36" s="43" t="str">
        <f>'Form Responses'!D119</f>
        <v/>
      </c>
      <c r="B36" s="43" t="str">
        <f>'Form Responses'!G119</f>
        <v/>
      </c>
      <c r="C36" s="43" t="str">
        <f>'Form Responses'!E119</f>
        <v/>
      </c>
      <c r="D36" s="47" t="str">
        <f>'Form Responses'!A119</f>
        <v/>
      </c>
      <c r="G36" s="44"/>
      <c r="J36" s="45"/>
      <c r="M36" s="46">
        <v>34.0</v>
      </c>
      <c r="N36" s="46">
        <f t="shared" si="4"/>
        <v>0</v>
      </c>
    </row>
    <row r="37">
      <c r="A37" s="43" t="str">
        <f>'Form Responses'!D120</f>
        <v/>
      </c>
      <c r="B37" s="43" t="str">
        <f>'Form Responses'!G120</f>
        <v/>
      </c>
      <c r="C37" s="43" t="str">
        <f>'Form Responses'!E120</f>
        <v/>
      </c>
      <c r="D37" s="47" t="str">
        <f>'Form Responses'!A120</f>
        <v/>
      </c>
      <c r="G37" s="44"/>
      <c r="J37" s="45"/>
      <c r="M37" s="46">
        <v>35.0</v>
      </c>
      <c r="N37" s="46">
        <f t="shared" si="4"/>
        <v>0</v>
      </c>
    </row>
    <row r="38">
      <c r="A38" s="43" t="str">
        <f>'Form Responses'!D121</f>
        <v/>
      </c>
      <c r="B38" s="43" t="str">
        <f>'Form Responses'!G121</f>
        <v/>
      </c>
      <c r="C38" s="43" t="str">
        <f>'Form Responses'!E121</f>
        <v/>
      </c>
      <c r="D38" s="47" t="str">
        <f>'Form Responses'!A121</f>
        <v/>
      </c>
      <c r="G38" s="44"/>
      <c r="J38" s="45"/>
      <c r="M38" s="46">
        <v>36.0</v>
      </c>
      <c r="N38" s="46">
        <f t="shared" si="4"/>
        <v>0</v>
      </c>
    </row>
    <row r="39">
      <c r="A39" s="43" t="str">
        <f>'Form Responses'!D122</f>
        <v/>
      </c>
      <c r="B39" s="43" t="str">
        <f>'Form Responses'!G122</f>
        <v/>
      </c>
      <c r="C39" s="43" t="str">
        <f>'Form Responses'!E122</f>
        <v/>
      </c>
      <c r="D39" s="47" t="str">
        <f>'Form Responses'!A122</f>
        <v/>
      </c>
      <c r="G39" s="44"/>
      <c r="J39" s="45"/>
      <c r="M39" s="46">
        <v>37.0</v>
      </c>
      <c r="N39" s="46">
        <f t="shared" si="4"/>
        <v>0</v>
      </c>
    </row>
    <row r="40">
      <c r="A40" s="43" t="str">
        <f>'Form Responses'!D123</f>
        <v/>
      </c>
      <c r="B40" s="43" t="str">
        <f>'Form Responses'!G123</f>
        <v/>
      </c>
      <c r="C40" s="43" t="str">
        <f>'Form Responses'!E123</f>
        <v/>
      </c>
      <c r="D40" s="47" t="str">
        <f>'Form Responses'!A123</f>
        <v/>
      </c>
      <c r="G40" s="44"/>
      <c r="J40" s="45"/>
      <c r="M40" s="46">
        <v>38.0</v>
      </c>
      <c r="N40" s="46">
        <f t="shared" si="4"/>
        <v>0</v>
      </c>
    </row>
    <row r="41">
      <c r="A41" s="43" t="str">
        <f>'Form Responses'!D124</f>
        <v/>
      </c>
      <c r="B41" s="43" t="str">
        <f>'Form Responses'!G124</f>
        <v/>
      </c>
      <c r="C41" s="43" t="str">
        <f>'Form Responses'!E124</f>
        <v/>
      </c>
      <c r="D41" s="47" t="str">
        <f>'Form Responses'!A124</f>
        <v/>
      </c>
      <c r="G41" s="44"/>
      <c r="J41" s="45"/>
      <c r="M41" s="46">
        <v>39.0</v>
      </c>
      <c r="N41" s="46">
        <f t="shared" si="4"/>
        <v>0</v>
      </c>
    </row>
    <row r="42">
      <c r="A42" s="43" t="str">
        <f>'Form Responses'!D125</f>
        <v/>
      </c>
      <c r="B42" s="43" t="str">
        <f>'Form Responses'!G125</f>
        <v/>
      </c>
      <c r="C42" s="43" t="str">
        <f>'Form Responses'!E125</f>
        <v/>
      </c>
      <c r="D42" s="47" t="str">
        <f>'Form Responses'!A125</f>
        <v/>
      </c>
      <c r="G42" s="44"/>
      <c r="J42" s="45"/>
      <c r="M42" s="46">
        <v>40.0</v>
      </c>
      <c r="N42" s="46">
        <f t="shared" si="4"/>
        <v>0</v>
      </c>
    </row>
    <row r="43">
      <c r="A43" s="43" t="str">
        <f>'Form Responses'!D126</f>
        <v/>
      </c>
      <c r="B43" s="43" t="str">
        <f>'Form Responses'!G126</f>
        <v/>
      </c>
      <c r="C43" s="43" t="str">
        <f>'Form Responses'!E126</f>
        <v/>
      </c>
      <c r="D43" s="47" t="str">
        <f>'Form Responses'!A126</f>
        <v/>
      </c>
      <c r="G43" s="44"/>
      <c r="J43" s="45"/>
      <c r="M43" s="46">
        <v>41.0</v>
      </c>
      <c r="N43" s="46">
        <f t="shared" si="4"/>
        <v>0</v>
      </c>
    </row>
    <row r="44">
      <c r="A44" s="43" t="str">
        <f>'Form Responses'!D127</f>
        <v/>
      </c>
      <c r="B44" s="43" t="str">
        <f>'Form Responses'!G127</f>
        <v/>
      </c>
      <c r="C44" s="43" t="str">
        <f>'Form Responses'!E127</f>
        <v/>
      </c>
      <c r="D44" s="47" t="str">
        <f>'Form Responses'!A127</f>
        <v/>
      </c>
      <c r="G44" s="44"/>
      <c r="J44" s="45"/>
      <c r="M44" s="46">
        <v>42.0</v>
      </c>
      <c r="N44" s="46">
        <f t="shared" si="4"/>
        <v>0</v>
      </c>
    </row>
    <row r="45">
      <c r="A45" s="43" t="str">
        <f>'Form Responses'!D128</f>
        <v/>
      </c>
      <c r="B45" s="43" t="str">
        <f>'Form Responses'!G128</f>
        <v/>
      </c>
      <c r="C45" s="43" t="str">
        <f>'Form Responses'!E128</f>
        <v/>
      </c>
      <c r="D45" s="47" t="str">
        <f>'Form Responses'!A128</f>
        <v/>
      </c>
      <c r="G45" s="44"/>
      <c r="J45" s="45"/>
      <c r="M45" s="46">
        <v>43.0</v>
      </c>
      <c r="N45" s="46">
        <f t="shared" si="4"/>
        <v>0</v>
      </c>
    </row>
    <row r="46">
      <c r="A46" s="43" t="str">
        <f>'Form Responses'!D129</f>
        <v/>
      </c>
      <c r="B46" s="43" t="str">
        <f>'Form Responses'!G129</f>
        <v/>
      </c>
      <c r="C46" s="43" t="str">
        <f>'Form Responses'!E129</f>
        <v/>
      </c>
      <c r="D46" s="47" t="str">
        <f>'Form Responses'!A129</f>
        <v/>
      </c>
      <c r="G46" s="44"/>
      <c r="J46" s="45"/>
      <c r="M46" s="46">
        <v>44.0</v>
      </c>
      <c r="N46" s="46">
        <f t="shared" si="4"/>
        <v>0</v>
      </c>
    </row>
    <row r="47">
      <c r="A47" s="43" t="str">
        <f>'Form Responses'!D130</f>
        <v/>
      </c>
      <c r="B47" s="43" t="str">
        <f>'Form Responses'!G130</f>
        <v/>
      </c>
      <c r="C47" s="43" t="str">
        <f>'Form Responses'!E130</f>
        <v/>
      </c>
      <c r="D47" s="47" t="str">
        <f>'Form Responses'!A130</f>
        <v/>
      </c>
      <c r="G47" s="44"/>
      <c r="J47" s="45"/>
      <c r="M47" s="46">
        <v>45.0</v>
      </c>
      <c r="N47" s="46">
        <f t="shared" si="4"/>
        <v>0</v>
      </c>
    </row>
    <row r="48">
      <c r="A48" s="43" t="str">
        <f>'Form Responses'!D131</f>
        <v/>
      </c>
      <c r="B48" s="43" t="str">
        <f>'Form Responses'!G131</f>
        <v/>
      </c>
      <c r="C48" s="43" t="str">
        <f>'Form Responses'!E131</f>
        <v/>
      </c>
      <c r="D48" s="47" t="str">
        <f>'Form Responses'!A131</f>
        <v/>
      </c>
      <c r="G48" s="44"/>
      <c r="J48" s="45"/>
      <c r="M48" s="46">
        <v>46.0</v>
      </c>
      <c r="N48" s="46">
        <f t="shared" si="4"/>
        <v>0</v>
      </c>
    </row>
    <row r="49">
      <c r="A49" s="43" t="str">
        <f>'Form Responses'!D132</f>
        <v/>
      </c>
      <c r="B49" s="43" t="str">
        <f>'Form Responses'!G132</f>
        <v/>
      </c>
      <c r="C49" s="43" t="str">
        <f>'Form Responses'!E132</f>
        <v/>
      </c>
      <c r="D49" s="47" t="str">
        <f>'Form Responses'!A132</f>
        <v/>
      </c>
      <c r="G49" s="44"/>
      <c r="J49" s="45"/>
      <c r="M49" s="46">
        <v>47.0</v>
      </c>
      <c r="N49" s="46">
        <f t="shared" si="4"/>
        <v>0</v>
      </c>
    </row>
    <row r="50">
      <c r="A50" s="43" t="str">
        <f>'Form Responses'!D133</f>
        <v/>
      </c>
      <c r="B50" s="43" t="str">
        <f>'Form Responses'!G133</f>
        <v/>
      </c>
      <c r="C50" s="43" t="str">
        <f>'Form Responses'!E133</f>
        <v/>
      </c>
      <c r="D50" s="47" t="str">
        <f>'Form Responses'!A133</f>
        <v/>
      </c>
      <c r="G50" s="44"/>
      <c r="J50" s="45"/>
      <c r="M50" s="46">
        <v>48.0</v>
      </c>
      <c r="N50" s="46">
        <f t="shared" si="4"/>
        <v>0</v>
      </c>
    </row>
    <row r="51">
      <c r="A51" s="43" t="str">
        <f>'Form Responses'!D134</f>
        <v/>
      </c>
      <c r="B51" s="43" t="str">
        <f>'Form Responses'!G134</f>
        <v/>
      </c>
      <c r="C51" s="43" t="str">
        <f>'Form Responses'!E134</f>
        <v/>
      </c>
      <c r="D51" s="47" t="str">
        <f>'Form Responses'!A134</f>
        <v/>
      </c>
      <c r="G51" s="44"/>
      <c r="J51" s="45"/>
      <c r="M51" s="46">
        <v>49.0</v>
      </c>
      <c r="N51" s="46">
        <f t="shared" si="4"/>
        <v>0</v>
      </c>
    </row>
    <row r="52">
      <c r="A52" s="43" t="str">
        <f>'Form Responses'!D140</f>
        <v/>
      </c>
      <c r="B52" s="43" t="str">
        <f>'Form Responses'!G140</f>
        <v/>
      </c>
      <c r="G52" s="44"/>
      <c r="J52" s="45"/>
      <c r="M52" s="46">
        <v>50.0</v>
      </c>
      <c r="N52" s="46">
        <f t="shared" si="4"/>
        <v>0</v>
      </c>
    </row>
    <row r="53">
      <c r="A53" s="43" t="str">
        <f>'Form Responses'!D141</f>
        <v/>
      </c>
      <c r="B53" s="43" t="str">
        <f>'Form Responses'!G141</f>
        <v/>
      </c>
      <c r="G53" s="44"/>
      <c r="J53" s="45"/>
      <c r="M53" s="46">
        <v>51.0</v>
      </c>
      <c r="N53" s="46">
        <f t="shared" si="4"/>
        <v>0</v>
      </c>
    </row>
    <row r="54">
      <c r="A54" s="43" t="str">
        <f>'Form Responses'!D142</f>
        <v/>
      </c>
      <c r="B54" s="43" t="str">
        <f>'Form Responses'!G142</f>
        <v/>
      </c>
      <c r="G54" s="44"/>
      <c r="J54" s="45"/>
      <c r="M54" s="46">
        <v>52.0</v>
      </c>
      <c r="N54" s="46">
        <f t="shared" si="4"/>
        <v>0</v>
      </c>
    </row>
    <row r="55">
      <c r="A55" s="43" t="str">
        <f>'Form Responses'!D143</f>
        <v/>
      </c>
      <c r="B55" s="43" t="str">
        <f>'Form Responses'!G143</f>
        <v/>
      </c>
      <c r="G55" s="44"/>
      <c r="J55" s="45"/>
      <c r="M55" s="46">
        <v>53.0</v>
      </c>
      <c r="N55" s="46">
        <f t="shared" si="4"/>
        <v>0</v>
      </c>
    </row>
    <row r="56">
      <c r="A56" s="43" t="str">
        <f>'Form Responses'!D144</f>
        <v/>
      </c>
      <c r="B56" s="43" t="str">
        <f>'Form Responses'!G144</f>
        <v/>
      </c>
      <c r="G56" s="44"/>
      <c r="J56" s="45"/>
      <c r="M56" s="46">
        <v>54.0</v>
      </c>
      <c r="N56" s="46">
        <f t="shared" si="4"/>
        <v>0</v>
      </c>
    </row>
    <row r="57">
      <c r="A57" s="43" t="str">
        <f>'Form Responses'!D145</f>
        <v/>
      </c>
      <c r="B57" s="43" t="str">
        <f>'Form Responses'!G145</f>
        <v/>
      </c>
      <c r="G57" s="44"/>
      <c r="J57" s="45"/>
      <c r="M57" s="46">
        <v>55.0</v>
      </c>
      <c r="N57" s="46">
        <f t="shared" si="4"/>
        <v>0</v>
      </c>
    </row>
    <row r="58">
      <c r="A58" s="43" t="str">
        <f>'Form Responses'!D146</f>
        <v/>
      </c>
      <c r="B58" s="43" t="str">
        <f>'Form Responses'!G146</f>
        <v/>
      </c>
      <c r="G58" s="44"/>
      <c r="J58" s="45"/>
      <c r="M58" s="46">
        <v>56.0</v>
      </c>
      <c r="N58" s="46">
        <f t="shared" si="4"/>
        <v>0</v>
      </c>
    </row>
    <row r="59">
      <c r="A59" s="43" t="str">
        <f>'Form Responses'!D147</f>
        <v/>
      </c>
      <c r="B59" s="43" t="str">
        <f>'Form Responses'!G147</f>
        <v/>
      </c>
      <c r="G59" s="44"/>
      <c r="J59" s="45"/>
      <c r="M59" s="46">
        <v>57.0</v>
      </c>
      <c r="N59" s="46">
        <f t="shared" si="4"/>
        <v>0</v>
      </c>
    </row>
    <row r="60">
      <c r="A60" s="43" t="str">
        <f>'Form Responses'!D148</f>
        <v/>
      </c>
      <c r="B60" s="43" t="str">
        <f>'Form Responses'!G148</f>
        <v/>
      </c>
      <c r="G60" s="44"/>
      <c r="J60" s="45"/>
      <c r="M60" s="46">
        <v>58.0</v>
      </c>
      <c r="N60" s="46">
        <f t="shared" si="4"/>
        <v>0</v>
      </c>
    </row>
    <row r="61">
      <c r="A61" s="43" t="str">
        <f>'Form Responses'!D149</f>
        <v/>
      </c>
      <c r="B61" s="43" t="str">
        <f>'Form Responses'!G149</f>
        <v/>
      </c>
      <c r="G61" s="44"/>
      <c r="J61" s="45"/>
      <c r="M61" s="46">
        <v>59.0</v>
      </c>
      <c r="N61" s="46">
        <f t="shared" si="4"/>
        <v>0</v>
      </c>
    </row>
    <row r="62">
      <c r="A62" s="43" t="str">
        <f>'Form Responses'!D150</f>
        <v/>
      </c>
      <c r="B62" s="43" t="str">
        <f>'Form Responses'!G150</f>
        <v/>
      </c>
      <c r="G62" s="44"/>
      <c r="J62" s="45"/>
      <c r="M62" s="46">
        <v>60.0</v>
      </c>
      <c r="N62" s="46">
        <f t="shared" si="4"/>
        <v>0</v>
      </c>
    </row>
    <row r="63">
      <c r="A63" s="43" t="str">
        <f>'Form Responses'!D151</f>
        <v/>
      </c>
      <c r="B63" s="43" t="str">
        <f>'Form Responses'!G151</f>
        <v/>
      </c>
      <c r="G63" s="44"/>
      <c r="J63" s="45"/>
      <c r="M63" s="46">
        <v>61.0</v>
      </c>
      <c r="N63" s="46">
        <f t="shared" si="4"/>
        <v>0</v>
      </c>
    </row>
    <row r="64">
      <c r="A64" s="43" t="str">
        <f>'Form Responses'!D152</f>
        <v/>
      </c>
      <c r="B64" s="43" t="str">
        <f>'Form Responses'!G152</f>
        <v/>
      </c>
      <c r="G64" s="44"/>
      <c r="J64" s="45"/>
      <c r="M64" s="46">
        <v>62.0</v>
      </c>
      <c r="N64" s="46">
        <f t="shared" si="4"/>
        <v>0</v>
      </c>
    </row>
    <row r="65">
      <c r="A65" s="43" t="str">
        <f>'Form Responses'!D153</f>
        <v/>
      </c>
      <c r="B65" s="43" t="str">
        <f>'Form Responses'!G153</f>
        <v/>
      </c>
      <c r="G65" s="44"/>
      <c r="J65" s="45"/>
      <c r="M65" s="46">
        <v>63.0</v>
      </c>
      <c r="N65" s="46">
        <f t="shared" si="4"/>
        <v>0</v>
      </c>
    </row>
    <row r="66">
      <c r="A66" s="43" t="str">
        <f>'Form Responses'!D154</f>
        <v/>
      </c>
      <c r="B66" s="43" t="str">
        <f>'Form Responses'!G154</f>
        <v/>
      </c>
      <c r="G66" s="44"/>
      <c r="J66" s="45"/>
      <c r="N66" s="48"/>
    </row>
    <row r="67">
      <c r="A67" s="43" t="str">
        <f>'Form Responses'!D155</f>
        <v/>
      </c>
      <c r="B67" s="43" t="str">
        <f>'Form Responses'!G155</f>
        <v/>
      </c>
      <c r="G67" s="44"/>
      <c r="J67" s="45"/>
      <c r="N67" s="48"/>
    </row>
    <row r="68">
      <c r="A68" s="43" t="str">
        <f>'Form Responses'!D156</f>
        <v/>
      </c>
      <c r="B68" s="43" t="str">
        <f>'Form Responses'!G156</f>
        <v/>
      </c>
      <c r="G68" s="44"/>
      <c r="J68" s="45"/>
      <c r="N68" s="48"/>
    </row>
    <row r="69">
      <c r="A69" s="43" t="str">
        <f>'Form Responses'!D157</f>
        <v/>
      </c>
      <c r="B69" s="43" t="str">
        <f>'Form Responses'!G157</f>
        <v/>
      </c>
      <c r="G69" s="44"/>
      <c r="J69" s="45"/>
      <c r="N69" s="48"/>
    </row>
    <row r="70">
      <c r="A70" s="43" t="str">
        <f>'Form Responses'!D158</f>
        <v/>
      </c>
      <c r="B70" s="43" t="str">
        <f>'Form Responses'!G158</f>
        <v/>
      </c>
      <c r="G70" s="44"/>
      <c r="J70" s="45"/>
      <c r="N70" s="48"/>
    </row>
    <row r="71">
      <c r="A71" s="43" t="str">
        <f>'Form Responses'!D159</f>
        <v/>
      </c>
      <c r="B71" s="43" t="str">
        <f>'Form Responses'!G159</f>
        <v/>
      </c>
      <c r="G71" s="44"/>
      <c r="J71" s="45"/>
      <c r="N71" s="48"/>
    </row>
    <row r="72">
      <c r="A72" s="43" t="str">
        <f>'Form Responses'!D160</f>
        <v/>
      </c>
      <c r="B72" s="43" t="str">
        <f>'Form Responses'!G160</f>
        <v/>
      </c>
      <c r="G72" s="44"/>
      <c r="J72" s="45"/>
      <c r="N72" s="48"/>
    </row>
    <row r="73">
      <c r="A73" s="43" t="str">
        <f>'Form Responses'!D161</f>
        <v/>
      </c>
      <c r="B73" s="43" t="str">
        <f>'Form Responses'!G161</f>
        <v/>
      </c>
      <c r="G73" s="44"/>
      <c r="J73" s="45"/>
      <c r="N73" s="48"/>
    </row>
    <row r="74">
      <c r="A74" s="43" t="str">
        <f>'Form Responses'!D162</f>
        <v/>
      </c>
      <c r="B74" s="43" t="str">
        <f>'Form Responses'!G162</f>
        <v/>
      </c>
      <c r="G74" s="44"/>
      <c r="J74" s="45"/>
      <c r="N74" s="48"/>
    </row>
    <row r="75">
      <c r="A75" s="43" t="str">
        <f>'Form Responses'!D163</f>
        <v/>
      </c>
      <c r="B75" s="43" t="str">
        <f>'Form Responses'!G163</f>
        <v/>
      </c>
      <c r="G75" s="44"/>
      <c r="J75" s="45"/>
      <c r="N75" s="48"/>
    </row>
    <row r="76">
      <c r="A76" s="43" t="str">
        <f>'Form Responses'!D164</f>
        <v/>
      </c>
      <c r="B76" s="43" t="str">
        <f>'Form Responses'!G164</f>
        <v/>
      </c>
      <c r="G76" s="44"/>
      <c r="J76" s="45"/>
      <c r="N76" s="48"/>
    </row>
    <row r="77">
      <c r="A77" s="43" t="str">
        <f>'Form Responses'!D165</f>
        <v/>
      </c>
      <c r="B77" s="43" t="str">
        <f>'Form Responses'!G165</f>
        <v/>
      </c>
      <c r="G77" s="44"/>
      <c r="J77" s="45"/>
      <c r="N77" s="48"/>
    </row>
    <row r="78">
      <c r="A78" s="43" t="str">
        <f>'Form Responses'!D166</f>
        <v/>
      </c>
      <c r="B78" s="43" t="str">
        <f>'Form Responses'!G166</f>
        <v/>
      </c>
      <c r="G78" s="44"/>
      <c r="J78" s="45"/>
      <c r="N78" s="48"/>
    </row>
    <row r="79">
      <c r="A79" s="43" t="str">
        <f>'Form Responses'!D167</f>
        <v/>
      </c>
      <c r="B79" s="43" t="str">
        <f>'Form Responses'!G167</f>
        <v/>
      </c>
      <c r="G79" s="44"/>
      <c r="J79" s="45"/>
      <c r="N79" s="48"/>
    </row>
    <row r="80">
      <c r="A80" s="43" t="str">
        <f>'Form Responses'!D168</f>
        <v/>
      </c>
      <c r="B80" s="43" t="str">
        <f>'Form Responses'!G168</f>
        <v/>
      </c>
      <c r="G80" s="44"/>
      <c r="J80" s="45"/>
      <c r="N80" s="48"/>
    </row>
    <row r="81">
      <c r="A81" s="43" t="str">
        <f>'Form Responses'!D169</f>
        <v/>
      </c>
      <c r="G81" s="44"/>
      <c r="J81" s="45"/>
      <c r="N81" s="48"/>
    </row>
    <row r="82">
      <c r="A82" s="43" t="str">
        <f>'Form Responses'!D170</f>
        <v/>
      </c>
      <c r="G82" s="44"/>
      <c r="J82" s="45"/>
      <c r="N82" s="48"/>
    </row>
    <row r="83">
      <c r="A83" s="43" t="str">
        <f>'Form Responses'!D171</f>
        <v/>
      </c>
      <c r="G83" s="44"/>
      <c r="J83" s="45"/>
      <c r="N83" s="48"/>
    </row>
    <row r="84">
      <c r="A84" s="43" t="str">
        <f>'Form Responses'!D172</f>
        <v/>
      </c>
      <c r="G84" s="44"/>
      <c r="J84" s="45"/>
      <c r="N84" s="48"/>
    </row>
    <row r="85">
      <c r="A85" s="43" t="str">
        <f>'Form Responses'!D173</f>
        <v/>
      </c>
      <c r="G85" s="44"/>
      <c r="J85" s="45"/>
      <c r="N85" s="48"/>
    </row>
    <row r="86">
      <c r="A86" s="43" t="str">
        <f>'Form Responses'!D174</f>
        <v/>
      </c>
      <c r="G86" s="44"/>
      <c r="J86" s="45"/>
      <c r="N86" s="48"/>
    </row>
    <row r="87">
      <c r="A87" s="43" t="str">
        <f>'Form Responses'!D175</f>
        <v/>
      </c>
      <c r="G87" s="44"/>
      <c r="J87" s="45"/>
      <c r="N87" s="48"/>
    </row>
    <row r="88">
      <c r="A88" s="43" t="str">
        <f>'Form Responses'!D176</f>
        <v/>
      </c>
      <c r="G88" s="44"/>
      <c r="J88" s="45"/>
      <c r="N88" s="48"/>
    </row>
    <row r="89">
      <c r="A89" s="43" t="str">
        <f>'Form Responses'!D177</f>
        <v/>
      </c>
      <c r="G89" s="44"/>
      <c r="J89" s="45"/>
      <c r="N89" s="48"/>
    </row>
    <row r="90">
      <c r="A90" s="43" t="str">
        <f>'Form Responses'!D178</f>
        <v/>
      </c>
      <c r="G90" s="44"/>
      <c r="J90" s="45"/>
      <c r="N90" s="48"/>
    </row>
    <row r="91">
      <c r="G91" s="44"/>
      <c r="J91" s="45"/>
      <c r="N91" s="48"/>
    </row>
    <row r="92">
      <c r="G92" s="44"/>
      <c r="J92" s="45"/>
      <c r="N92" s="48"/>
    </row>
    <row r="93">
      <c r="G93" s="44"/>
      <c r="J93" s="45"/>
      <c r="N93" s="48"/>
    </row>
    <row r="94">
      <c r="G94" s="44"/>
      <c r="J94" s="45"/>
      <c r="N94" s="48"/>
    </row>
    <row r="95">
      <c r="G95" s="44"/>
      <c r="J95" s="45"/>
      <c r="N95" s="48"/>
    </row>
    <row r="96">
      <c r="G96" s="44"/>
      <c r="J96" s="45"/>
      <c r="N96" s="48"/>
    </row>
    <row r="97">
      <c r="G97" s="44"/>
      <c r="J97" s="45"/>
      <c r="N97" s="48"/>
    </row>
    <row r="98">
      <c r="G98" s="44"/>
      <c r="J98" s="45"/>
      <c r="N98" s="48"/>
    </row>
    <row r="99">
      <c r="G99" s="44"/>
      <c r="J99" s="45"/>
      <c r="N99" s="48"/>
    </row>
    <row r="100">
      <c r="G100" s="44"/>
      <c r="J100" s="45"/>
      <c r="N100" s="48"/>
    </row>
    <row r="101">
      <c r="G101" s="44"/>
      <c r="J101" s="45"/>
      <c r="N101" s="48"/>
    </row>
    <row r="102">
      <c r="G102" s="44"/>
      <c r="J102" s="45"/>
      <c r="N102" s="48"/>
    </row>
    <row r="103">
      <c r="G103" s="44"/>
      <c r="J103" s="45"/>
      <c r="N103" s="48"/>
    </row>
    <row r="104">
      <c r="G104" s="44"/>
      <c r="J104" s="45"/>
      <c r="N104" s="48"/>
    </row>
    <row r="105">
      <c r="G105" s="44"/>
      <c r="J105" s="45"/>
      <c r="N105" s="48"/>
    </row>
    <row r="106">
      <c r="G106" s="44"/>
      <c r="J106" s="45"/>
      <c r="N106" s="48"/>
    </row>
    <row r="107">
      <c r="G107" s="44"/>
      <c r="J107" s="45"/>
      <c r="N107" s="48"/>
    </row>
    <row r="108">
      <c r="G108" s="44"/>
      <c r="J108" s="45"/>
      <c r="N108" s="48"/>
    </row>
    <row r="109">
      <c r="G109" s="44"/>
      <c r="J109" s="45"/>
      <c r="N109" s="48"/>
    </row>
    <row r="110">
      <c r="G110" s="44"/>
      <c r="J110" s="45"/>
      <c r="N110" s="48"/>
    </row>
    <row r="111">
      <c r="G111" s="44"/>
      <c r="J111" s="45"/>
      <c r="N111" s="48"/>
    </row>
    <row r="112">
      <c r="G112" s="44"/>
      <c r="J112" s="45"/>
      <c r="N112" s="48"/>
    </row>
    <row r="113">
      <c r="G113" s="44"/>
      <c r="J113" s="45"/>
      <c r="N113" s="48"/>
    </row>
    <row r="114">
      <c r="G114" s="44"/>
      <c r="J114" s="45"/>
      <c r="N114" s="48"/>
    </row>
    <row r="115">
      <c r="G115" s="44"/>
      <c r="J115" s="45"/>
      <c r="N115" s="48"/>
    </row>
    <row r="116">
      <c r="G116" s="44"/>
      <c r="J116" s="45"/>
      <c r="N116" s="48"/>
    </row>
    <row r="117">
      <c r="G117" s="44"/>
      <c r="J117" s="45"/>
      <c r="N117" s="48"/>
    </row>
    <row r="118">
      <c r="G118" s="44"/>
      <c r="J118" s="45"/>
      <c r="N118" s="48"/>
    </row>
    <row r="119">
      <c r="G119" s="44"/>
      <c r="J119" s="45"/>
      <c r="N119" s="48"/>
    </row>
    <row r="120">
      <c r="G120" s="44"/>
      <c r="J120" s="45"/>
      <c r="N120" s="48"/>
    </row>
    <row r="121">
      <c r="G121" s="44"/>
      <c r="J121" s="45"/>
      <c r="N121" s="48"/>
    </row>
    <row r="122">
      <c r="G122" s="44"/>
      <c r="J122" s="45"/>
      <c r="N122" s="48"/>
    </row>
    <row r="123">
      <c r="G123" s="44"/>
      <c r="J123" s="45"/>
      <c r="N123" s="48"/>
    </row>
    <row r="124">
      <c r="G124" s="44"/>
      <c r="J124" s="45"/>
      <c r="N124" s="48"/>
    </row>
    <row r="125">
      <c r="G125" s="44"/>
      <c r="J125" s="45"/>
      <c r="N125" s="48"/>
    </row>
    <row r="126">
      <c r="G126" s="44"/>
      <c r="J126" s="45"/>
      <c r="N126" s="48"/>
    </row>
    <row r="127">
      <c r="G127" s="44"/>
      <c r="J127" s="45"/>
      <c r="N127" s="48"/>
    </row>
    <row r="128">
      <c r="G128" s="44"/>
      <c r="J128" s="45"/>
      <c r="N128" s="48"/>
    </row>
    <row r="129">
      <c r="G129" s="44"/>
      <c r="J129" s="45"/>
      <c r="N129" s="48"/>
    </row>
    <row r="130">
      <c r="G130" s="44"/>
      <c r="J130" s="45"/>
      <c r="N130" s="48"/>
    </row>
    <row r="131">
      <c r="G131" s="44"/>
      <c r="J131" s="45"/>
      <c r="N131" s="48"/>
    </row>
    <row r="132">
      <c r="G132" s="44"/>
      <c r="J132" s="45"/>
      <c r="N132" s="48"/>
    </row>
    <row r="133">
      <c r="G133" s="44"/>
      <c r="J133" s="45"/>
      <c r="N133" s="48"/>
    </row>
    <row r="134">
      <c r="G134" s="44"/>
      <c r="J134" s="45"/>
      <c r="N134" s="48"/>
    </row>
    <row r="135">
      <c r="G135" s="44"/>
      <c r="J135" s="45"/>
      <c r="N135" s="48"/>
    </row>
    <row r="136">
      <c r="G136" s="44"/>
      <c r="J136" s="45"/>
      <c r="N136" s="48"/>
    </row>
    <row r="137">
      <c r="G137" s="44"/>
      <c r="J137" s="45"/>
      <c r="N137" s="48"/>
    </row>
    <row r="138">
      <c r="G138" s="44"/>
      <c r="J138" s="45"/>
      <c r="N138" s="48"/>
    </row>
    <row r="139">
      <c r="G139" s="44"/>
      <c r="J139" s="45"/>
      <c r="N139" s="48"/>
    </row>
    <row r="140">
      <c r="G140" s="44"/>
      <c r="J140" s="45"/>
      <c r="N140" s="48"/>
    </row>
    <row r="141">
      <c r="G141" s="44"/>
      <c r="J141" s="45"/>
      <c r="N141" s="48"/>
    </row>
    <row r="142">
      <c r="G142" s="44"/>
      <c r="J142" s="45"/>
      <c r="N142" s="48"/>
    </row>
    <row r="143">
      <c r="G143" s="44"/>
      <c r="J143" s="45"/>
      <c r="N143" s="48"/>
    </row>
    <row r="144">
      <c r="G144" s="44"/>
      <c r="J144" s="45"/>
      <c r="N144" s="48"/>
    </row>
    <row r="145">
      <c r="G145" s="44"/>
      <c r="J145" s="45"/>
      <c r="N145" s="48"/>
    </row>
    <row r="146">
      <c r="G146" s="44"/>
      <c r="J146" s="45"/>
      <c r="N146" s="48"/>
    </row>
    <row r="147">
      <c r="G147" s="44"/>
      <c r="J147" s="45"/>
      <c r="N147" s="48"/>
    </row>
    <row r="148">
      <c r="G148" s="44"/>
      <c r="J148" s="45"/>
      <c r="N148" s="48"/>
    </row>
    <row r="149">
      <c r="G149" s="44"/>
      <c r="J149" s="45"/>
      <c r="N149" s="48"/>
    </row>
    <row r="150">
      <c r="G150" s="44"/>
      <c r="J150" s="45"/>
      <c r="N150" s="48"/>
    </row>
    <row r="151">
      <c r="G151" s="44"/>
      <c r="J151" s="45"/>
      <c r="N151" s="48"/>
    </row>
    <row r="152">
      <c r="G152" s="44"/>
      <c r="J152" s="45"/>
      <c r="N152" s="48"/>
    </row>
    <row r="153">
      <c r="G153" s="44"/>
      <c r="J153" s="45"/>
      <c r="N153" s="48"/>
    </row>
    <row r="154">
      <c r="G154" s="44"/>
      <c r="J154" s="45"/>
      <c r="N154" s="48"/>
    </row>
    <row r="155">
      <c r="G155" s="44"/>
      <c r="J155" s="45"/>
      <c r="N155" s="48"/>
    </row>
    <row r="156">
      <c r="G156" s="44"/>
      <c r="J156" s="45"/>
      <c r="N156" s="48"/>
    </row>
    <row r="157">
      <c r="G157" s="44"/>
      <c r="J157" s="45"/>
      <c r="N157" s="48"/>
    </row>
    <row r="158">
      <c r="G158" s="44"/>
      <c r="J158" s="45"/>
      <c r="N158" s="48"/>
    </row>
    <row r="159">
      <c r="G159" s="44"/>
      <c r="J159" s="45"/>
      <c r="N159" s="48"/>
    </row>
    <row r="160">
      <c r="G160" s="44"/>
      <c r="J160" s="45"/>
      <c r="N160" s="48"/>
    </row>
    <row r="161">
      <c r="G161" s="44"/>
      <c r="J161" s="45"/>
      <c r="N161" s="48"/>
    </row>
    <row r="162">
      <c r="G162" s="44"/>
      <c r="J162" s="45"/>
      <c r="N162" s="48"/>
    </row>
    <row r="163">
      <c r="G163" s="44"/>
      <c r="J163" s="45"/>
      <c r="N163" s="48"/>
    </row>
    <row r="164">
      <c r="G164" s="44"/>
      <c r="J164" s="45"/>
      <c r="N164" s="48"/>
    </row>
    <row r="165">
      <c r="G165" s="44"/>
      <c r="J165" s="45"/>
      <c r="N165" s="48"/>
    </row>
    <row r="166">
      <c r="G166" s="44"/>
      <c r="J166" s="45"/>
      <c r="N166" s="48"/>
    </row>
    <row r="167">
      <c r="G167" s="44"/>
      <c r="J167" s="45"/>
      <c r="N167" s="48"/>
    </row>
    <row r="168">
      <c r="G168" s="44"/>
      <c r="J168" s="45"/>
      <c r="N168" s="48"/>
    </row>
    <row r="169">
      <c r="G169" s="44"/>
      <c r="J169" s="45"/>
      <c r="N169" s="48"/>
    </row>
    <row r="170">
      <c r="G170" s="44"/>
      <c r="J170" s="45"/>
      <c r="N170" s="48"/>
    </row>
    <row r="171">
      <c r="G171" s="44"/>
      <c r="J171" s="45"/>
      <c r="N171" s="48"/>
    </row>
    <row r="172">
      <c r="G172" s="44"/>
      <c r="J172" s="45"/>
      <c r="N172" s="48"/>
    </row>
    <row r="173">
      <c r="G173" s="44"/>
      <c r="J173" s="45"/>
      <c r="N173" s="48"/>
    </row>
    <row r="174">
      <c r="G174" s="44"/>
      <c r="J174" s="45"/>
      <c r="N174" s="48"/>
    </row>
    <row r="175">
      <c r="G175" s="44"/>
      <c r="J175" s="45"/>
      <c r="N175" s="48"/>
    </row>
    <row r="176">
      <c r="G176" s="44"/>
      <c r="J176" s="45"/>
      <c r="N176" s="48"/>
    </row>
    <row r="177">
      <c r="G177" s="44"/>
      <c r="J177" s="45"/>
      <c r="N177" s="48"/>
    </row>
    <row r="178">
      <c r="G178" s="44"/>
      <c r="J178" s="45"/>
      <c r="N178" s="48"/>
    </row>
    <row r="179">
      <c r="G179" s="44"/>
      <c r="J179" s="45"/>
      <c r="N179" s="48"/>
    </row>
    <row r="180">
      <c r="G180" s="44"/>
      <c r="J180" s="45"/>
      <c r="N180" s="48"/>
    </row>
    <row r="181">
      <c r="G181" s="44"/>
      <c r="J181" s="45"/>
      <c r="N181" s="48"/>
    </row>
    <row r="182">
      <c r="G182" s="44"/>
      <c r="J182" s="45"/>
      <c r="N182" s="48"/>
    </row>
    <row r="183">
      <c r="G183" s="44"/>
      <c r="J183" s="45"/>
      <c r="N183" s="48"/>
    </row>
    <row r="184">
      <c r="G184" s="44"/>
      <c r="J184" s="45"/>
      <c r="N184" s="48"/>
    </row>
    <row r="185">
      <c r="G185" s="44"/>
      <c r="J185" s="45"/>
      <c r="N185" s="48"/>
    </row>
    <row r="186">
      <c r="G186" s="44"/>
      <c r="J186" s="45"/>
      <c r="N186" s="48"/>
    </row>
    <row r="187">
      <c r="G187" s="44"/>
      <c r="J187" s="45"/>
      <c r="N187" s="48"/>
    </row>
    <row r="188">
      <c r="G188" s="44"/>
      <c r="J188" s="45"/>
      <c r="N188" s="48"/>
    </row>
    <row r="189">
      <c r="G189" s="44"/>
      <c r="J189" s="45"/>
      <c r="N189" s="48"/>
    </row>
    <row r="190">
      <c r="G190" s="44"/>
      <c r="J190" s="45"/>
      <c r="N190" s="48"/>
    </row>
    <row r="191">
      <c r="G191" s="44"/>
      <c r="J191" s="45"/>
      <c r="N191" s="48"/>
    </row>
    <row r="192">
      <c r="G192" s="44"/>
      <c r="J192" s="45"/>
      <c r="N192" s="48"/>
    </row>
    <row r="193">
      <c r="G193" s="44"/>
      <c r="J193" s="45"/>
      <c r="N193" s="48"/>
    </row>
    <row r="194">
      <c r="G194" s="44"/>
      <c r="J194" s="45"/>
      <c r="N194" s="48"/>
    </row>
    <row r="195">
      <c r="G195" s="44"/>
      <c r="J195" s="45"/>
      <c r="N195" s="48"/>
    </row>
    <row r="196">
      <c r="G196" s="44"/>
      <c r="J196" s="45"/>
      <c r="N196" s="48"/>
    </row>
    <row r="197">
      <c r="G197" s="44"/>
      <c r="J197" s="45"/>
      <c r="N197" s="48"/>
    </row>
    <row r="198">
      <c r="G198" s="44"/>
      <c r="J198" s="45"/>
      <c r="N198" s="48"/>
    </row>
    <row r="199">
      <c r="G199" s="44"/>
      <c r="J199" s="45"/>
      <c r="N199" s="48"/>
    </row>
    <row r="200">
      <c r="G200" s="44"/>
      <c r="J200" s="45"/>
      <c r="N200" s="48"/>
    </row>
    <row r="201">
      <c r="G201" s="44"/>
      <c r="J201" s="45"/>
      <c r="N201" s="48"/>
    </row>
    <row r="202">
      <c r="G202" s="44"/>
      <c r="J202" s="45"/>
      <c r="N202" s="48"/>
    </row>
    <row r="203">
      <c r="G203" s="44"/>
      <c r="J203" s="45"/>
      <c r="N203" s="48"/>
    </row>
    <row r="204">
      <c r="G204" s="44"/>
      <c r="J204" s="45"/>
      <c r="N204" s="48"/>
    </row>
    <row r="205">
      <c r="G205" s="44"/>
      <c r="J205" s="45"/>
      <c r="N205" s="48"/>
    </row>
    <row r="206">
      <c r="G206" s="44"/>
      <c r="J206" s="45"/>
      <c r="N206" s="48"/>
    </row>
    <row r="207">
      <c r="G207" s="44"/>
      <c r="J207" s="45"/>
      <c r="N207" s="48"/>
    </row>
    <row r="208">
      <c r="G208" s="44"/>
      <c r="J208" s="45"/>
      <c r="N208" s="48"/>
    </row>
    <row r="209">
      <c r="G209" s="44"/>
      <c r="J209" s="45"/>
      <c r="N209" s="48"/>
    </row>
    <row r="210">
      <c r="G210" s="44"/>
      <c r="J210" s="45"/>
      <c r="N210" s="48"/>
    </row>
    <row r="211">
      <c r="G211" s="44"/>
      <c r="J211" s="45"/>
      <c r="N211" s="48"/>
    </row>
    <row r="212">
      <c r="G212" s="44"/>
      <c r="J212" s="45"/>
      <c r="N212" s="48"/>
    </row>
    <row r="213">
      <c r="G213" s="44"/>
      <c r="J213" s="45"/>
      <c r="N213" s="48"/>
    </row>
    <row r="214">
      <c r="G214" s="44"/>
      <c r="J214" s="45"/>
      <c r="N214" s="48"/>
    </row>
    <row r="215">
      <c r="G215" s="44"/>
      <c r="J215" s="45"/>
      <c r="N215" s="48"/>
    </row>
    <row r="216">
      <c r="G216" s="44"/>
      <c r="J216" s="45"/>
      <c r="N216" s="48"/>
    </row>
    <row r="217">
      <c r="G217" s="44"/>
      <c r="J217" s="45"/>
      <c r="N217" s="48"/>
    </row>
    <row r="218">
      <c r="G218" s="44"/>
      <c r="J218" s="45"/>
      <c r="N218" s="48"/>
    </row>
    <row r="219">
      <c r="G219" s="44"/>
      <c r="J219" s="45"/>
      <c r="N219" s="48"/>
    </row>
    <row r="220">
      <c r="G220" s="44"/>
      <c r="J220" s="45"/>
      <c r="N220" s="48"/>
    </row>
    <row r="221">
      <c r="G221" s="44"/>
      <c r="J221" s="45"/>
      <c r="N221" s="48"/>
    </row>
    <row r="222">
      <c r="G222" s="44"/>
      <c r="J222" s="45"/>
      <c r="N222" s="48"/>
    </row>
    <row r="223">
      <c r="G223" s="44"/>
      <c r="J223" s="45"/>
      <c r="N223" s="48"/>
    </row>
    <row r="224">
      <c r="G224" s="44"/>
      <c r="J224" s="45"/>
      <c r="N224" s="48"/>
    </row>
    <row r="225">
      <c r="G225" s="44"/>
      <c r="J225" s="45"/>
      <c r="N225" s="48"/>
    </row>
    <row r="226">
      <c r="G226" s="44"/>
      <c r="J226" s="45"/>
      <c r="N226" s="48"/>
    </row>
    <row r="227">
      <c r="G227" s="44"/>
      <c r="J227" s="45"/>
      <c r="N227" s="48"/>
    </row>
    <row r="228">
      <c r="G228" s="44"/>
      <c r="J228" s="45"/>
      <c r="N228" s="48"/>
    </row>
    <row r="229">
      <c r="G229" s="44"/>
      <c r="J229" s="45"/>
      <c r="N229" s="48"/>
    </row>
    <row r="230">
      <c r="G230" s="44"/>
      <c r="J230" s="45"/>
      <c r="N230" s="48"/>
    </row>
    <row r="231">
      <c r="G231" s="44"/>
      <c r="J231" s="45"/>
      <c r="N231" s="48"/>
    </row>
    <row r="232">
      <c r="G232" s="44"/>
      <c r="J232" s="45"/>
      <c r="N232" s="48"/>
    </row>
    <row r="233">
      <c r="G233" s="44"/>
      <c r="J233" s="45"/>
      <c r="N233" s="48"/>
    </row>
    <row r="234">
      <c r="G234" s="44"/>
      <c r="J234" s="45"/>
      <c r="N234" s="48"/>
    </row>
    <row r="235">
      <c r="G235" s="44"/>
      <c r="J235" s="45"/>
      <c r="N235" s="48"/>
    </row>
    <row r="236">
      <c r="G236" s="44"/>
      <c r="J236" s="45"/>
      <c r="N236" s="48"/>
    </row>
    <row r="237">
      <c r="G237" s="44"/>
      <c r="J237" s="45"/>
      <c r="N237" s="48"/>
    </row>
    <row r="238">
      <c r="G238" s="44"/>
      <c r="J238" s="45"/>
      <c r="N238" s="48"/>
    </row>
    <row r="239">
      <c r="G239" s="44"/>
      <c r="J239" s="45"/>
      <c r="N239" s="48"/>
    </row>
    <row r="240">
      <c r="G240" s="44"/>
      <c r="J240" s="45"/>
      <c r="N240" s="48"/>
    </row>
    <row r="241">
      <c r="G241" s="44"/>
      <c r="J241" s="45"/>
      <c r="N241" s="48"/>
    </row>
    <row r="242">
      <c r="G242" s="44"/>
      <c r="J242" s="45"/>
      <c r="N242" s="48"/>
    </row>
    <row r="243">
      <c r="G243" s="44"/>
      <c r="J243" s="45"/>
      <c r="N243" s="48"/>
    </row>
    <row r="244">
      <c r="G244" s="44"/>
      <c r="J244" s="45"/>
      <c r="N244" s="48"/>
    </row>
    <row r="245">
      <c r="G245" s="44"/>
      <c r="J245" s="45"/>
      <c r="N245" s="48"/>
    </row>
    <row r="246">
      <c r="G246" s="44"/>
      <c r="J246" s="45"/>
      <c r="N246" s="48"/>
    </row>
    <row r="247">
      <c r="G247" s="44"/>
      <c r="J247" s="45"/>
      <c r="N247" s="48"/>
    </row>
    <row r="248">
      <c r="G248" s="44"/>
      <c r="J248" s="45"/>
      <c r="N248" s="48"/>
    </row>
    <row r="249">
      <c r="G249" s="44"/>
      <c r="J249" s="45"/>
      <c r="N249" s="48"/>
    </row>
    <row r="250">
      <c r="G250" s="44"/>
      <c r="J250" s="45"/>
      <c r="N250" s="48"/>
    </row>
    <row r="251">
      <c r="G251" s="44"/>
      <c r="J251" s="45"/>
      <c r="N251" s="48"/>
    </row>
    <row r="252">
      <c r="G252" s="44"/>
      <c r="J252" s="45"/>
      <c r="N252" s="48"/>
    </row>
    <row r="253">
      <c r="G253" s="44"/>
      <c r="J253" s="45"/>
      <c r="N253" s="48"/>
    </row>
    <row r="254">
      <c r="G254" s="44"/>
      <c r="J254" s="45"/>
      <c r="N254" s="48"/>
    </row>
    <row r="255">
      <c r="G255" s="44"/>
      <c r="J255" s="45"/>
      <c r="N255" s="48"/>
    </row>
    <row r="256">
      <c r="G256" s="44"/>
      <c r="J256" s="45"/>
      <c r="N256" s="48"/>
    </row>
    <row r="257">
      <c r="G257" s="44"/>
      <c r="J257" s="45"/>
      <c r="N257" s="48"/>
    </row>
    <row r="258">
      <c r="G258" s="44"/>
      <c r="J258" s="45"/>
      <c r="N258" s="48"/>
    </row>
    <row r="259">
      <c r="G259" s="44"/>
      <c r="J259" s="45"/>
      <c r="N259" s="48"/>
    </row>
    <row r="260">
      <c r="G260" s="44"/>
      <c r="J260" s="45"/>
      <c r="N260" s="48"/>
    </row>
    <row r="261">
      <c r="G261" s="44"/>
      <c r="J261" s="45"/>
      <c r="N261" s="48"/>
    </row>
    <row r="262">
      <c r="G262" s="44"/>
      <c r="J262" s="45"/>
      <c r="N262" s="48"/>
    </row>
    <row r="263">
      <c r="G263" s="44"/>
      <c r="J263" s="45"/>
      <c r="N263" s="48"/>
    </row>
    <row r="264">
      <c r="G264" s="44"/>
      <c r="J264" s="45"/>
      <c r="N264" s="48"/>
    </row>
    <row r="265">
      <c r="G265" s="44"/>
      <c r="J265" s="45"/>
      <c r="N265" s="48"/>
    </row>
    <row r="266">
      <c r="G266" s="44"/>
      <c r="J266" s="45"/>
      <c r="N266" s="48"/>
    </row>
    <row r="267">
      <c r="G267" s="44"/>
      <c r="J267" s="45"/>
      <c r="N267" s="48"/>
    </row>
    <row r="268">
      <c r="G268" s="44"/>
      <c r="J268" s="45"/>
      <c r="N268" s="48"/>
    </row>
    <row r="269">
      <c r="G269" s="44"/>
      <c r="J269" s="45"/>
      <c r="N269" s="48"/>
    </row>
    <row r="270">
      <c r="G270" s="44"/>
      <c r="J270" s="45"/>
      <c r="N270" s="48"/>
    </row>
    <row r="271">
      <c r="G271" s="44"/>
      <c r="J271" s="45"/>
      <c r="N271" s="48"/>
    </row>
    <row r="272">
      <c r="G272" s="44"/>
      <c r="J272" s="45"/>
      <c r="N272" s="48"/>
    </row>
    <row r="273">
      <c r="G273" s="44"/>
      <c r="J273" s="45"/>
      <c r="N273" s="48"/>
    </row>
    <row r="274">
      <c r="G274" s="44"/>
      <c r="J274" s="45"/>
      <c r="N274" s="48"/>
    </row>
    <row r="275">
      <c r="G275" s="44"/>
      <c r="J275" s="45"/>
      <c r="N275" s="48"/>
    </row>
    <row r="276">
      <c r="G276" s="44"/>
      <c r="J276" s="45"/>
      <c r="N276" s="48"/>
    </row>
    <row r="277">
      <c r="G277" s="44"/>
      <c r="J277" s="45"/>
      <c r="N277" s="48"/>
    </row>
    <row r="278">
      <c r="G278" s="44"/>
      <c r="J278" s="45"/>
      <c r="N278" s="48"/>
    </row>
    <row r="279">
      <c r="G279" s="44"/>
      <c r="J279" s="45"/>
      <c r="N279" s="48"/>
    </row>
    <row r="280">
      <c r="G280" s="44"/>
      <c r="J280" s="45"/>
      <c r="N280" s="48"/>
    </row>
    <row r="281">
      <c r="G281" s="44"/>
      <c r="J281" s="45"/>
      <c r="N281" s="48"/>
    </row>
    <row r="282">
      <c r="G282" s="44"/>
      <c r="J282" s="45"/>
      <c r="N282" s="48"/>
    </row>
    <row r="283">
      <c r="G283" s="44"/>
      <c r="J283" s="45"/>
      <c r="N283" s="48"/>
    </row>
    <row r="284">
      <c r="G284" s="44"/>
      <c r="J284" s="45"/>
      <c r="N284" s="48"/>
    </row>
    <row r="285">
      <c r="G285" s="44"/>
      <c r="J285" s="45"/>
      <c r="N285" s="48"/>
    </row>
    <row r="286">
      <c r="G286" s="44"/>
      <c r="J286" s="45"/>
      <c r="N286" s="48"/>
    </row>
    <row r="287">
      <c r="G287" s="44"/>
      <c r="J287" s="45"/>
      <c r="N287" s="48"/>
    </row>
    <row r="288">
      <c r="G288" s="44"/>
      <c r="J288" s="45"/>
      <c r="N288" s="48"/>
    </row>
    <row r="289">
      <c r="G289" s="44"/>
      <c r="J289" s="45"/>
      <c r="N289" s="48"/>
    </row>
    <row r="290">
      <c r="G290" s="44"/>
      <c r="J290" s="45"/>
      <c r="N290" s="48"/>
    </row>
    <row r="291">
      <c r="G291" s="44"/>
      <c r="J291" s="45"/>
      <c r="N291" s="48"/>
    </row>
    <row r="292">
      <c r="G292" s="44"/>
      <c r="J292" s="45"/>
      <c r="N292" s="48"/>
    </row>
    <row r="293">
      <c r="G293" s="44"/>
      <c r="J293" s="45"/>
      <c r="N293" s="48"/>
    </row>
    <row r="294">
      <c r="G294" s="44"/>
      <c r="J294" s="45"/>
      <c r="N294" s="48"/>
    </row>
    <row r="295">
      <c r="G295" s="44"/>
      <c r="J295" s="45"/>
      <c r="N295" s="48"/>
    </row>
    <row r="296">
      <c r="G296" s="44"/>
      <c r="J296" s="45"/>
      <c r="N296" s="48"/>
    </row>
    <row r="297">
      <c r="G297" s="44"/>
      <c r="J297" s="45"/>
      <c r="N297" s="48"/>
    </row>
    <row r="298">
      <c r="G298" s="44"/>
      <c r="J298" s="45"/>
      <c r="N298" s="48"/>
    </row>
    <row r="299">
      <c r="G299" s="44"/>
      <c r="J299" s="45"/>
      <c r="N299" s="48"/>
    </row>
    <row r="300">
      <c r="G300" s="44"/>
      <c r="J300" s="45"/>
      <c r="N300" s="48"/>
    </row>
    <row r="301">
      <c r="G301" s="44"/>
      <c r="J301" s="45"/>
      <c r="N301" s="48"/>
    </row>
    <row r="302">
      <c r="G302" s="44"/>
      <c r="J302" s="45"/>
      <c r="N302" s="48"/>
    </row>
    <row r="303">
      <c r="G303" s="44"/>
      <c r="J303" s="45"/>
      <c r="N303" s="48"/>
    </row>
    <row r="304">
      <c r="G304" s="44"/>
      <c r="J304" s="45"/>
      <c r="N304" s="48"/>
    </row>
    <row r="305">
      <c r="G305" s="44"/>
      <c r="J305" s="45"/>
      <c r="N305" s="48"/>
    </row>
    <row r="306">
      <c r="G306" s="44"/>
      <c r="J306" s="45"/>
      <c r="N306" s="48"/>
    </row>
    <row r="307">
      <c r="G307" s="44"/>
      <c r="J307" s="45"/>
      <c r="N307" s="48"/>
    </row>
    <row r="308">
      <c r="G308" s="44"/>
      <c r="J308" s="45"/>
      <c r="N308" s="48"/>
    </row>
    <row r="309">
      <c r="G309" s="44"/>
      <c r="J309" s="45"/>
      <c r="N309" s="48"/>
    </row>
    <row r="310">
      <c r="G310" s="44"/>
      <c r="J310" s="45"/>
      <c r="N310" s="48"/>
    </row>
    <row r="311">
      <c r="G311" s="44"/>
      <c r="J311" s="45"/>
      <c r="N311" s="48"/>
    </row>
    <row r="312">
      <c r="G312" s="44"/>
      <c r="J312" s="45"/>
      <c r="N312" s="48"/>
    </row>
    <row r="313">
      <c r="G313" s="44"/>
      <c r="J313" s="45"/>
      <c r="N313" s="48"/>
    </row>
    <row r="314">
      <c r="G314" s="44"/>
      <c r="J314" s="45"/>
      <c r="N314" s="48"/>
    </row>
    <row r="315">
      <c r="G315" s="44"/>
      <c r="J315" s="45"/>
      <c r="N315" s="48"/>
    </row>
    <row r="316">
      <c r="G316" s="44"/>
      <c r="J316" s="45"/>
      <c r="N316" s="48"/>
    </row>
    <row r="317">
      <c r="G317" s="44"/>
      <c r="J317" s="45"/>
      <c r="N317" s="48"/>
    </row>
    <row r="318">
      <c r="G318" s="44"/>
      <c r="J318" s="45"/>
      <c r="N318" s="48"/>
    </row>
    <row r="319">
      <c r="G319" s="44"/>
      <c r="J319" s="45"/>
      <c r="N319" s="48"/>
    </row>
    <row r="320">
      <c r="G320" s="44"/>
      <c r="J320" s="45"/>
      <c r="N320" s="48"/>
    </row>
    <row r="321">
      <c r="G321" s="44"/>
      <c r="J321" s="45"/>
      <c r="N321" s="48"/>
    </row>
    <row r="322">
      <c r="G322" s="44"/>
      <c r="J322" s="45"/>
      <c r="N322" s="48"/>
    </row>
    <row r="323">
      <c r="G323" s="44"/>
      <c r="J323" s="45"/>
      <c r="N323" s="48"/>
    </row>
    <row r="324">
      <c r="G324" s="44"/>
      <c r="J324" s="45"/>
      <c r="N324" s="48"/>
    </row>
    <row r="325">
      <c r="G325" s="44"/>
      <c r="J325" s="45"/>
      <c r="N325" s="48"/>
    </row>
    <row r="326">
      <c r="G326" s="44"/>
      <c r="J326" s="45"/>
      <c r="N326" s="48"/>
    </row>
    <row r="327">
      <c r="G327" s="44"/>
      <c r="J327" s="45"/>
      <c r="N327" s="48"/>
    </row>
    <row r="328">
      <c r="G328" s="44"/>
      <c r="J328" s="45"/>
      <c r="N328" s="48"/>
    </row>
    <row r="329">
      <c r="G329" s="44"/>
      <c r="J329" s="45"/>
      <c r="N329" s="48"/>
    </row>
    <row r="330">
      <c r="G330" s="44"/>
      <c r="J330" s="45"/>
      <c r="N330" s="48"/>
    </row>
    <row r="331">
      <c r="G331" s="44"/>
      <c r="J331" s="45"/>
      <c r="N331" s="48"/>
    </row>
    <row r="332">
      <c r="G332" s="44"/>
      <c r="J332" s="45"/>
      <c r="N332" s="48"/>
    </row>
    <row r="333">
      <c r="G333" s="44"/>
      <c r="J333" s="45"/>
      <c r="N333" s="48"/>
    </row>
    <row r="334">
      <c r="G334" s="44"/>
      <c r="J334" s="45"/>
      <c r="N334" s="48"/>
    </row>
    <row r="335">
      <c r="G335" s="44"/>
      <c r="J335" s="45"/>
      <c r="N335" s="48"/>
    </row>
    <row r="336">
      <c r="G336" s="44"/>
      <c r="J336" s="45"/>
      <c r="N336" s="48"/>
    </row>
    <row r="337">
      <c r="G337" s="44"/>
      <c r="J337" s="45"/>
      <c r="N337" s="48"/>
    </row>
    <row r="338">
      <c r="G338" s="44"/>
      <c r="J338" s="45"/>
      <c r="N338" s="48"/>
    </row>
    <row r="339">
      <c r="G339" s="44"/>
      <c r="J339" s="45"/>
      <c r="N339" s="48"/>
    </row>
    <row r="340">
      <c r="G340" s="44"/>
      <c r="J340" s="45"/>
      <c r="N340" s="48"/>
    </row>
    <row r="341">
      <c r="G341" s="44"/>
      <c r="J341" s="45"/>
      <c r="N341" s="48"/>
    </row>
    <row r="342">
      <c r="G342" s="44"/>
      <c r="J342" s="45"/>
      <c r="N342" s="48"/>
    </row>
    <row r="343">
      <c r="G343" s="44"/>
      <c r="J343" s="45"/>
      <c r="N343" s="48"/>
    </row>
    <row r="344">
      <c r="G344" s="44"/>
      <c r="J344" s="45"/>
      <c r="N344" s="48"/>
    </row>
    <row r="345">
      <c r="G345" s="44"/>
      <c r="J345" s="45"/>
      <c r="N345" s="48"/>
    </row>
    <row r="346">
      <c r="G346" s="44"/>
      <c r="J346" s="45"/>
      <c r="N346" s="48"/>
    </row>
    <row r="347">
      <c r="G347" s="44"/>
      <c r="J347" s="45"/>
      <c r="N347" s="48"/>
    </row>
    <row r="348">
      <c r="G348" s="44"/>
      <c r="J348" s="45"/>
      <c r="N348" s="48"/>
    </row>
    <row r="349">
      <c r="G349" s="44"/>
      <c r="J349" s="45"/>
      <c r="N349" s="48"/>
    </row>
    <row r="350">
      <c r="G350" s="44"/>
      <c r="J350" s="45"/>
      <c r="N350" s="48"/>
    </row>
    <row r="351">
      <c r="G351" s="44"/>
      <c r="J351" s="45"/>
      <c r="N351" s="48"/>
    </row>
    <row r="352">
      <c r="G352" s="44"/>
      <c r="J352" s="45"/>
      <c r="N352" s="48"/>
    </row>
    <row r="353">
      <c r="G353" s="44"/>
      <c r="J353" s="45"/>
      <c r="N353" s="48"/>
    </row>
    <row r="354">
      <c r="G354" s="44"/>
      <c r="J354" s="45"/>
      <c r="N354" s="48"/>
    </row>
    <row r="355">
      <c r="G355" s="44"/>
      <c r="J355" s="45"/>
      <c r="N355" s="48"/>
    </row>
    <row r="356">
      <c r="G356" s="44"/>
      <c r="J356" s="45"/>
      <c r="N356" s="48"/>
    </row>
    <row r="357">
      <c r="G357" s="44"/>
      <c r="J357" s="45"/>
      <c r="N357" s="48"/>
    </row>
    <row r="358">
      <c r="G358" s="44"/>
      <c r="J358" s="45"/>
      <c r="N358" s="48"/>
    </row>
    <row r="359">
      <c r="G359" s="44"/>
      <c r="J359" s="45"/>
      <c r="N359" s="48"/>
    </row>
    <row r="360">
      <c r="G360" s="44"/>
      <c r="J360" s="45"/>
      <c r="N360" s="48"/>
    </row>
    <row r="361">
      <c r="G361" s="44"/>
      <c r="J361" s="45"/>
      <c r="N361" s="48"/>
    </row>
    <row r="362">
      <c r="G362" s="44"/>
      <c r="J362" s="45"/>
      <c r="N362" s="48"/>
    </row>
    <row r="363">
      <c r="G363" s="44"/>
      <c r="J363" s="45"/>
      <c r="N363" s="48"/>
    </row>
    <row r="364">
      <c r="G364" s="44"/>
      <c r="J364" s="45"/>
      <c r="N364" s="48"/>
    </row>
    <row r="365">
      <c r="G365" s="44"/>
      <c r="J365" s="45"/>
      <c r="N365" s="48"/>
    </row>
    <row r="366">
      <c r="G366" s="44"/>
      <c r="J366" s="45"/>
      <c r="N366" s="48"/>
    </row>
    <row r="367">
      <c r="G367" s="44"/>
      <c r="J367" s="45"/>
      <c r="N367" s="48"/>
    </row>
    <row r="368">
      <c r="G368" s="44"/>
      <c r="J368" s="45"/>
      <c r="N368" s="48"/>
    </row>
    <row r="369">
      <c r="G369" s="44"/>
      <c r="J369" s="45"/>
      <c r="N369" s="48"/>
    </row>
    <row r="370">
      <c r="G370" s="44"/>
      <c r="J370" s="45"/>
      <c r="N370" s="48"/>
    </row>
    <row r="371">
      <c r="G371" s="44"/>
      <c r="J371" s="45"/>
      <c r="N371" s="48"/>
    </row>
    <row r="372">
      <c r="G372" s="44"/>
      <c r="J372" s="45"/>
      <c r="N372" s="48"/>
    </row>
    <row r="373">
      <c r="G373" s="44"/>
      <c r="J373" s="45"/>
      <c r="N373" s="48"/>
    </row>
    <row r="374">
      <c r="G374" s="44"/>
      <c r="J374" s="45"/>
      <c r="N374" s="48"/>
    </row>
    <row r="375">
      <c r="G375" s="44"/>
      <c r="J375" s="45"/>
      <c r="N375" s="48"/>
    </row>
    <row r="376">
      <c r="G376" s="44"/>
      <c r="J376" s="45"/>
      <c r="N376" s="48"/>
    </row>
    <row r="377">
      <c r="G377" s="44"/>
      <c r="J377" s="45"/>
      <c r="N377" s="48"/>
    </row>
    <row r="378">
      <c r="G378" s="44"/>
      <c r="J378" s="45"/>
      <c r="N378" s="48"/>
    </row>
    <row r="379">
      <c r="G379" s="44"/>
      <c r="J379" s="45"/>
      <c r="N379" s="48"/>
    </row>
    <row r="380">
      <c r="G380" s="44"/>
      <c r="J380" s="45"/>
      <c r="N380" s="48"/>
    </row>
    <row r="381">
      <c r="G381" s="44"/>
      <c r="J381" s="45"/>
      <c r="N381" s="48"/>
    </row>
    <row r="382">
      <c r="G382" s="44"/>
      <c r="J382" s="45"/>
      <c r="N382" s="48"/>
    </row>
    <row r="383">
      <c r="G383" s="44"/>
      <c r="J383" s="45"/>
      <c r="N383" s="48"/>
    </row>
    <row r="384">
      <c r="G384" s="44"/>
      <c r="J384" s="45"/>
      <c r="N384" s="48"/>
    </row>
    <row r="385">
      <c r="G385" s="44"/>
      <c r="J385" s="45"/>
      <c r="N385" s="48"/>
    </row>
    <row r="386">
      <c r="G386" s="44"/>
      <c r="J386" s="45"/>
      <c r="N386" s="48"/>
    </row>
    <row r="387">
      <c r="G387" s="44"/>
      <c r="J387" s="45"/>
      <c r="N387" s="48"/>
    </row>
    <row r="388">
      <c r="G388" s="44"/>
      <c r="J388" s="45"/>
      <c r="N388" s="48"/>
    </row>
    <row r="389">
      <c r="G389" s="44"/>
      <c r="J389" s="45"/>
      <c r="N389" s="48"/>
    </row>
    <row r="390">
      <c r="G390" s="44"/>
      <c r="J390" s="45"/>
      <c r="N390" s="48"/>
    </row>
    <row r="391">
      <c r="G391" s="44"/>
      <c r="J391" s="45"/>
      <c r="N391" s="48"/>
    </row>
    <row r="392">
      <c r="G392" s="44"/>
      <c r="J392" s="45"/>
      <c r="N392" s="48"/>
    </row>
    <row r="393">
      <c r="G393" s="44"/>
      <c r="J393" s="45"/>
      <c r="N393" s="48"/>
    </row>
    <row r="394">
      <c r="G394" s="44"/>
      <c r="J394" s="45"/>
      <c r="N394" s="48"/>
    </row>
    <row r="395">
      <c r="G395" s="44"/>
      <c r="J395" s="45"/>
      <c r="N395" s="48"/>
    </row>
    <row r="396">
      <c r="G396" s="44"/>
      <c r="J396" s="45"/>
      <c r="N396" s="48"/>
    </row>
    <row r="397">
      <c r="G397" s="44"/>
      <c r="J397" s="45"/>
      <c r="N397" s="48"/>
    </row>
    <row r="398">
      <c r="G398" s="44"/>
      <c r="J398" s="45"/>
      <c r="N398" s="48"/>
    </row>
    <row r="399">
      <c r="G399" s="44"/>
      <c r="J399" s="45"/>
      <c r="N399" s="48"/>
    </row>
    <row r="400">
      <c r="G400" s="44"/>
      <c r="J400" s="45"/>
      <c r="N400" s="48"/>
    </row>
    <row r="401">
      <c r="G401" s="44"/>
      <c r="J401" s="45"/>
      <c r="N401" s="48"/>
    </row>
    <row r="402">
      <c r="G402" s="44"/>
      <c r="J402" s="45"/>
      <c r="N402" s="48"/>
    </row>
    <row r="403">
      <c r="G403" s="44"/>
      <c r="J403" s="45"/>
      <c r="N403" s="48"/>
    </row>
    <row r="404">
      <c r="G404" s="44"/>
      <c r="J404" s="45"/>
      <c r="N404" s="48"/>
    </row>
    <row r="405">
      <c r="G405" s="44"/>
      <c r="J405" s="45"/>
      <c r="N405" s="48"/>
    </row>
    <row r="406">
      <c r="G406" s="44"/>
      <c r="J406" s="45"/>
      <c r="N406" s="48"/>
    </row>
    <row r="407">
      <c r="G407" s="44"/>
      <c r="J407" s="45"/>
      <c r="N407" s="48"/>
    </row>
    <row r="408">
      <c r="G408" s="44"/>
      <c r="J408" s="45"/>
      <c r="N408" s="48"/>
    </row>
    <row r="409">
      <c r="G409" s="44"/>
      <c r="J409" s="45"/>
      <c r="N409" s="48"/>
    </row>
    <row r="410">
      <c r="G410" s="44"/>
      <c r="J410" s="45"/>
      <c r="N410" s="48"/>
    </row>
    <row r="411">
      <c r="G411" s="44"/>
      <c r="J411" s="45"/>
      <c r="N411" s="48"/>
    </row>
    <row r="412">
      <c r="G412" s="44"/>
      <c r="J412" s="45"/>
      <c r="N412" s="48"/>
    </row>
    <row r="413">
      <c r="G413" s="44"/>
      <c r="J413" s="45"/>
      <c r="N413" s="48"/>
    </row>
    <row r="414">
      <c r="G414" s="44"/>
      <c r="J414" s="45"/>
      <c r="N414" s="48"/>
    </row>
    <row r="415">
      <c r="G415" s="44"/>
      <c r="J415" s="45"/>
      <c r="N415" s="48"/>
    </row>
    <row r="416">
      <c r="G416" s="44"/>
      <c r="J416" s="45"/>
      <c r="N416" s="48"/>
    </row>
    <row r="417">
      <c r="G417" s="44"/>
      <c r="J417" s="45"/>
      <c r="N417" s="48"/>
    </row>
    <row r="418">
      <c r="G418" s="44"/>
      <c r="J418" s="45"/>
      <c r="N418" s="48"/>
    </row>
    <row r="419">
      <c r="G419" s="44"/>
      <c r="J419" s="45"/>
      <c r="N419" s="48"/>
    </row>
    <row r="420">
      <c r="G420" s="44"/>
      <c r="J420" s="45"/>
      <c r="N420" s="48"/>
    </row>
    <row r="421">
      <c r="G421" s="44"/>
      <c r="J421" s="45"/>
      <c r="N421" s="48"/>
    </row>
    <row r="422">
      <c r="G422" s="44"/>
      <c r="J422" s="45"/>
      <c r="N422" s="48"/>
    </row>
    <row r="423">
      <c r="G423" s="44"/>
      <c r="J423" s="45"/>
      <c r="N423" s="48"/>
    </row>
    <row r="424">
      <c r="G424" s="44"/>
      <c r="J424" s="45"/>
      <c r="N424" s="48"/>
    </row>
    <row r="425">
      <c r="G425" s="44"/>
      <c r="J425" s="45"/>
      <c r="N425" s="48"/>
    </row>
    <row r="426">
      <c r="G426" s="44"/>
      <c r="J426" s="45"/>
      <c r="N426" s="48"/>
    </row>
    <row r="427">
      <c r="G427" s="44"/>
      <c r="J427" s="45"/>
      <c r="N427" s="48"/>
    </row>
    <row r="428">
      <c r="G428" s="44"/>
      <c r="J428" s="45"/>
      <c r="N428" s="48"/>
    </row>
    <row r="429">
      <c r="G429" s="44"/>
      <c r="J429" s="45"/>
      <c r="N429" s="48"/>
    </row>
    <row r="430">
      <c r="G430" s="44"/>
      <c r="J430" s="45"/>
      <c r="N430" s="48"/>
    </row>
    <row r="431">
      <c r="G431" s="44"/>
      <c r="J431" s="45"/>
      <c r="N431" s="48"/>
    </row>
    <row r="432">
      <c r="G432" s="44"/>
      <c r="J432" s="45"/>
      <c r="N432" s="48"/>
    </row>
    <row r="433">
      <c r="G433" s="44"/>
      <c r="J433" s="45"/>
      <c r="N433" s="48"/>
    </row>
    <row r="434">
      <c r="G434" s="44"/>
      <c r="J434" s="45"/>
      <c r="N434" s="48"/>
    </row>
    <row r="435">
      <c r="G435" s="44"/>
      <c r="J435" s="45"/>
      <c r="N435" s="48"/>
    </row>
    <row r="436">
      <c r="G436" s="44"/>
      <c r="J436" s="45"/>
      <c r="N436" s="48"/>
    </row>
    <row r="437">
      <c r="G437" s="44"/>
      <c r="J437" s="45"/>
      <c r="N437" s="48"/>
    </row>
    <row r="438">
      <c r="G438" s="44"/>
      <c r="J438" s="45"/>
      <c r="N438" s="48"/>
    </row>
    <row r="439">
      <c r="G439" s="44"/>
      <c r="J439" s="45"/>
      <c r="N439" s="48"/>
    </row>
    <row r="440">
      <c r="G440" s="44"/>
      <c r="J440" s="45"/>
      <c r="N440" s="48"/>
    </row>
    <row r="441">
      <c r="G441" s="44"/>
      <c r="J441" s="45"/>
      <c r="N441" s="48"/>
    </row>
    <row r="442">
      <c r="G442" s="44"/>
      <c r="J442" s="45"/>
      <c r="N442" s="48"/>
    </row>
    <row r="443">
      <c r="G443" s="44"/>
      <c r="J443" s="45"/>
      <c r="N443" s="48"/>
    </row>
    <row r="444">
      <c r="G444" s="44"/>
      <c r="J444" s="45"/>
      <c r="N444" s="48"/>
    </row>
    <row r="445">
      <c r="G445" s="44"/>
      <c r="J445" s="45"/>
      <c r="N445" s="48"/>
    </row>
    <row r="446">
      <c r="G446" s="44"/>
      <c r="J446" s="45"/>
      <c r="N446" s="48"/>
    </row>
    <row r="447">
      <c r="G447" s="44"/>
      <c r="J447" s="45"/>
      <c r="N447" s="48"/>
    </row>
    <row r="448">
      <c r="G448" s="44"/>
      <c r="J448" s="45"/>
      <c r="N448" s="48"/>
    </row>
    <row r="449">
      <c r="G449" s="44"/>
      <c r="J449" s="45"/>
      <c r="N449" s="48"/>
    </row>
    <row r="450">
      <c r="G450" s="44"/>
      <c r="J450" s="45"/>
      <c r="N450" s="48"/>
    </row>
    <row r="451">
      <c r="G451" s="44"/>
      <c r="J451" s="45"/>
      <c r="N451" s="48"/>
    </row>
    <row r="452">
      <c r="G452" s="44"/>
      <c r="J452" s="45"/>
      <c r="N452" s="48"/>
    </row>
    <row r="453">
      <c r="G453" s="44"/>
      <c r="J453" s="45"/>
      <c r="N453" s="48"/>
    </row>
    <row r="454">
      <c r="G454" s="44"/>
      <c r="J454" s="45"/>
      <c r="N454" s="48"/>
    </row>
    <row r="455">
      <c r="G455" s="44"/>
      <c r="J455" s="45"/>
      <c r="N455" s="48"/>
    </row>
    <row r="456">
      <c r="G456" s="44"/>
      <c r="J456" s="45"/>
      <c r="N456" s="48"/>
    </row>
    <row r="457">
      <c r="G457" s="44"/>
      <c r="J457" s="45"/>
      <c r="N457" s="48"/>
    </row>
    <row r="458">
      <c r="G458" s="44"/>
      <c r="J458" s="45"/>
      <c r="N458" s="48"/>
    </row>
    <row r="459">
      <c r="G459" s="44"/>
      <c r="J459" s="45"/>
      <c r="N459" s="48"/>
    </row>
    <row r="460">
      <c r="G460" s="44"/>
      <c r="J460" s="45"/>
      <c r="N460" s="48"/>
    </row>
    <row r="461">
      <c r="G461" s="44"/>
      <c r="J461" s="45"/>
      <c r="N461" s="48"/>
    </row>
    <row r="462">
      <c r="G462" s="44"/>
      <c r="J462" s="45"/>
      <c r="N462" s="48"/>
    </row>
    <row r="463">
      <c r="G463" s="44"/>
      <c r="J463" s="45"/>
      <c r="N463" s="48"/>
    </row>
    <row r="464">
      <c r="G464" s="44"/>
      <c r="J464" s="45"/>
      <c r="N464" s="48"/>
    </row>
    <row r="465">
      <c r="G465" s="44"/>
      <c r="J465" s="45"/>
      <c r="N465" s="48"/>
    </row>
    <row r="466">
      <c r="G466" s="44"/>
      <c r="J466" s="45"/>
      <c r="N466" s="48"/>
    </row>
    <row r="467">
      <c r="G467" s="44"/>
      <c r="J467" s="45"/>
      <c r="N467" s="48"/>
    </row>
    <row r="468">
      <c r="G468" s="44"/>
      <c r="J468" s="45"/>
      <c r="N468" s="48"/>
    </row>
    <row r="469">
      <c r="G469" s="44"/>
      <c r="J469" s="45"/>
      <c r="N469" s="48"/>
    </row>
    <row r="470">
      <c r="G470" s="44"/>
      <c r="J470" s="45"/>
      <c r="N470" s="48"/>
    </row>
    <row r="471">
      <c r="G471" s="44"/>
      <c r="J471" s="45"/>
      <c r="N471" s="48"/>
    </row>
    <row r="472">
      <c r="G472" s="44"/>
      <c r="J472" s="45"/>
      <c r="N472" s="48"/>
    </row>
    <row r="473">
      <c r="G473" s="44"/>
      <c r="J473" s="45"/>
      <c r="N473" s="48"/>
    </row>
    <row r="474">
      <c r="G474" s="44"/>
      <c r="J474" s="45"/>
      <c r="N474" s="48"/>
    </row>
    <row r="475">
      <c r="G475" s="44"/>
      <c r="J475" s="45"/>
      <c r="N475" s="48"/>
    </row>
    <row r="476">
      <c r="G476" s="44"/>
      <c r="J476" s="45"/>
      <c r="N476" s="48"/>
    </row>
    <row r="477">
      <c r="G477" s="44"/>
      <c r="J477" s="45"/>
      <c r="N477" s="48"/>
    </row>
    <row r="478">
      <c r="G478" s="44"/>
      <c r="J478" s="45"/>
      <c r="N478" s="48"/>
    </row>
    <row r="479">
      <c r="G479" s="44"/>
      <c r="J479" s="45"/>
      <c r="N479" s="48"/>
    </row>
    <row r="480">
      <c r="G480" s="44"/>
      <c r="J480" s="45"/>
      <c r="N480" s="48"/>
    </row>
    <row r="481">
      <c r="G481" s="44"/>
      <c r="J481" s="45"/>
      <c r="N481" s="48"/>
    </row>
    <row r="482">
      <c r="G482" s="44"/>
      <c r="J482" s="45"/>
      <c r="N482" s="48"/>
    </row>
    <row r="483">
      <c r="G483" s="44"/>
      <c r="J483" s="45"/>
      <c r="N483" s="48"/>
    </row>
    <row r="484">
      <c r="G484" s="44"/>
      <c r="J484" s="45"/>
      <c r="N484" s="48"/>
    </row>
    <row r="485">
      <c r="G485" s="44"/>
      <c r="J485" s="45"/>
      <c r="N485" s="48"/>
    </row>
    <row r="486">
      <c r="G486" s="44"/>
      <c r="J486" s="45"/>
      <c r="N486" s="48"/>
    </row>
    <row r="487">
      <c r="G487" s="44"/>
      <c r="J487" s="45"/>
      <c r="N487" s="48"/>
    </row>
    <row r="488">
      <c r="G488" s="44"/>
      <c r="J488" s="45"/>
      <c r="N488" s="48"/>
    </row>
    <row r="489">
      <c r="G489" s="44"/>
      <c r="J489" s="45"/>
      <c r="N489" s="48"/>
    </row>
    <row r="490">
      <c r="G490" s="44"/>
      <c r="J490" s="45"/>
      <c r="N490" s="48"/>
    </row>
    <row r="491">
      <c r="G491" s="44"/>
      <c r="J491" s="45"/>
      <c r="N491" s="48"/>
    </row>
    <row r="492">
      <c r="G492" s="44"/>
      <c r="J492" s="45"/>
      <c r="N492" s="48"/>
    </row>
    <row r="493">
      <c r="G493" s="44"/>
      <c r="J493" s="45"/>
      <c r="N493" s="48"/>
    </row>
    <row r="494">
      <c r="G494" s="44"/>
      <c r="J494" s="45"/>
      <c r="N494" s="48"/>
    </row>
    <row r="495">
      <c r="G495" s="44"/>
      <c r="J495" s="45"/>
      <c r="N495" s="48"/>
    </row>
    <row r="496">
      <c r="G496" s="44"/>
      <c r="J496" s="45"/>
      <c r="N496" s="48"/>
    </row>
    <row r="497">
      <c r="G497" s="44"/>
      <c r="J497" s="45"/>
      <c r="N497" s="48"/>
    </row>
    <row r="498">
      <c r="G498" s="44"/>
      <c r="J498" s="45"/>
      <c r="N498" s="48"/>
    </row>
    <row r="499">
      <c r="G499" s="44"/>
      <c r="J499" s="45"/>
      <c r="N499" s="48"/>
    </row>
    <row r="500">
      <c r="G500" s="44"/>
      <c r="J500" s="45"/>
      <c r="N500" s="48"/>
    </row>
    <row r="501">
      <c r="G501" s="44"/>
      <c r="J501" s="45"/>
      <c r="N501" s="48"/>
    </row>
    <row r="502">
      <c r="G502" s="44"/>
      <c r="J502" s="45"/>
      <c r="N502" s="48"/>
    </row>
    <row r="503">
      <c r="G503" s="44"/>
      <c r="J503" s="45"/>
      <c r="N503" s="48"/>
    </row>
    <row r="504">
      <c r="G504" s="44"/>
      <c r="J504" s="45"/>
      <c r="N504" s="48"/>
    </row>
    <row r="505">
      <c r="G505" s="44"/>
      <c r="J505" s="45"/>
      <c r="N505" s="48"/>
    </row>
    <row r="506">
      <c r="G506" s="44"/>
      <c r="J506" s="45"/>
      <c r="N506" s="48"/>
    </row>
    <row r="507">
      <c r="G507" s="44"/>
      <c r="J507" s="45"/>
      <c r="N507" s="48"/>
    </row>
    <row r="508">
      <c r="G508" s="44"/>
      <c r="J508" s="45"/>
      <c r="N508" s="48"/>
    </row>
    <row r="509">
      <c r="G509" s="44"/>
      <c r="J509" s="45"/>
      <c r="N509" s="48"/>
    </row>
    <row r="510">
      <c r="G510" s="44"/>
      <c r="J510" s="45"/>
      <c r="N510" s="48"/>
    </row>
    <row r="511">
      <c r="G511" s="44"/>
      <c r="J511" s="45"/>
      <c r="N511" s="48"/>
    </row>
    <row r="512">
      <c r="G512" s="44"/>
      <c r="J512" s="45"/>
      <c r="N512" s="48"/>
    </row>
    <row r="513">
      <c r="G513" s="44"/>
      <c r="J513" s="45"/>
      <c r="N513" s="48"/>
    </row>
    <row r="514">
      <c r="G514" s="44"/>
      <c r="J514" s="45"/>
      <c r="N514" s="48"/>
    </row>
    <row r="515">
      <c r="G515" s="44"/>
      <c r="J515" s="45"/>
      <c r="N515" s="48"/>
    </row>
    <row r="516">
      <c r="G516" s="44"/>
      <c r="J516" s="45"/>
      <c r="N516" s="48"/>
    </row>
    <row r="517">
      <c r="G517" s="44"/>
      <c r="J517" s="45"/>
      <c r="N517" s="48"/>
    </row>
    <row r="518">
      <c r="G518" s="44"/>
      <c r="J518" s="45"/>
      <c r="N518" s="48"/>
    </row>
    <row r="519">
      <c r="G519" s="44"/>
      <c r="J519" s="45"/>
      <c r="N519" s="48"/>
    </row>
    <row r="520">
      <c r="G520" s="44"/>
      <c r="J520" s="45"/>
      <c r="N520" s="48"/>
    </row>
    <row r="521">
      <c r="G521" s="44"/>
      <c r="J521" s="45"/>
      <c r="N521" s="48"/>
    </row>
    <row r="522">
      <c r="G522" s="44"/>
      <c r="J522" s="45"/>
      <c r="N522" s="48"/>
    </row>
    <row r="523">
      <c r="G523" s="44"/>
      <c r="J523" s="45"/>
      <c r="N523" s="48"/>
    </row>
    <row r="524">
      <c r="G524" s="44"/>
      <c r="J524" s="45"/>
      <c r="N524" s="48"/>
    </row>
    <row r="525">
      <c r="G525" s="44"/>
      <c r="J525" s="45"/>
      <c r="N525" s="48"/>
    </row>
    <row r="526">
      <c r="G526" s="44"/>
      <c r="J526" s="45"/>
      <c r="N526" s="48"/>
    </row>
    <row r="527">
      <c r="G527" s="44"/>
      <c r="J527" s="45"/>
      <c r="N527" s="48"/>
    </row>
    <row r="528">
      <c r="G528" s="44"/>
      <c r="J528" s="45"/>
      <c r="N528" s="48"/>
    </row>
    <row r="529">
      <c r="G529" s="44"/>
      <c r="J529" s="45"/>
      <c r="N529" s="48"/>
    </row>
    <row r="530">
      <c r="G530" s="44"/>
      <c r="J530" s="45"/>
      <c r="N530" s="48"/>
    </row>
    <row r="531">
      <c r="G531" s="44"/>
      <c r="J531" s="45"/>
      <c r="N531" s="48"/>
    </row>
    <row r="532">
      <c r="G532" s="44"/>
      <c r="J532" s="45"/>
      <c r="N532" s="48"/>
    </row>
    <row r="533">
      <c r="G533" s="44"/>
      <c r="J533" s="45"/>
      <c r="N533" s="48"/>
    </row>
    <row r="534">
      <c r="G534" s="44"/>
      <c r="J534" s="45"/>
      <c r="N534" s="48"/>
    </row>
    <row r="535">
      <c r="G535" s="44"/>
      <c r="J535" s="45"/>
      <c r="N535" s="48"/>
    </row>
    <row r="536">
      <c r="G536" s="44"/>
      <c r="J536" s="45"/>
      <c r="N536" s="48"/>
    </row>
    <row r="537">
      <c r="G537" s="44"/>
      <c r="J537" s="45"/>
      <c r="N537" s="48"/>
    </row>
    <row r="538">
      <c r="G538" s="44"/>
      <c r="J538" s="45"/>
      <c r="N538" s="48"/>
    </row>
    <row r="539">
      <c r="G539" s="44"/>
      <c r="J539" s="45"/>
      <c r="N539" s="48"/>
    </row>
    <row r="540">
      <c r="G540" s="44"/>
      <c r="J540" s="45"/>
      <c r="N540" s="48"/>
    </row>
    <row r="541">
      <c r="G541" s="44"/>
      <c r="J541" s="45"/>
      <c r="N541" s="48"/>
    </row>
    <row r="542">
      <c r="G542" s="44"/>
      <c r="J542" s="45"/>
      <c r="N542" s="48"/>
    </row>
    <row r="543">
      <c r="G543" s="44"/>
      <c r="J543" s="45"/>
      <c r="N543" s="48"/>
    </row>
    <row r="544">
      <c r="G544" s="44"/>
      <c r="J544" s="45"/>
      <c r="N544" s="48"/>
    </row>
    <row r="545">
      <c r="G545" s="44"/>
      <c r="J545" s="45"/>
      <c r="N545" s="48"/>
    </row>
    <row r="546">
      <c r="G546" s="44"/>
      <c r="J546" s="45"/>
      <c r="N546" s="48"/>
    </row>
    <row r="547">
      <c r="G547" s="44"/>
      <c r="J547" s="45"/>
      <c r="N547" s="48"/>
    </row>
    <row r="548">
      <c r="G548" s="44"/>
      <c r="J548" s="45"/>
      <c r="N548" s="48"/>
    </row>
    <row r="549">
      <c r="G549" s="44"/>
      <c r="J549" s="45"/>
      <c r="N549" s="48"/>
    </row>
    <row r="550">
      <c r="G550" s="44"/>
      <c r="J550" s="45"/>
      <c r="N550" s="48"/>
    </row>
    <row r="551">
      <c r="G551" s="44"/>
      <c r="J551" s="45"/>
      <c r="N551" s="48"/>
    </row>
    <row r="552">
      <c r="G552" s="44"/>
      <c r="J552" s="45"/>
      <c r="N552" s="48"/>
    </row>
    <row r="553">
      <c r="G553" s="44"/>
      <c r="J553" s="45"/>
      <c r="N553" s="48"/>
    </row>
    <row r="554">
      <c r="G554" s="44"/>
      <c r="J554" s="45"/>
      <c r="N554" s="48"/>
    </row>
    <row r="555">
      <c r="G555" s="44"/>
      <c r="J555" s="45"/>
      <c r="N555" s="48"/>
    </row>
    <row r="556">
      <c r="G556" s="44"/>
      <c r="J556" s="45"/>
      <c r="N556" s="48"/>
    </row>
    <row r="557">
      <c r="G557" s="44"/>
      <c r="J557" s="45"/>
      <c r="N557" s="48"/>
    </row>
    <row r="558">
      <c r="G558" s="44"/>
      <c r="J558" s="45"/>
      <c r="N558" s="48"/>
    </row>
    <row r="559">
      <c r="G559" s="44"/>
      <c r="J559" s="45"/>
      <c r="N559" s="48"/>
    </row>
    <row r="560">
      <c r="G560" s="44"/>
      <c r="J560" s="45"/>
      <c r="N560" s="48"/>
    </row>
    <row r="561">
      <c r="G561" s="44"/>
      <c r="J561" s="45"/>
      <c r="N561" s="48"/>
    </row>
    <row r="562">
      <c r="G562" s="44"/>
      <c r="J562" s="45"/>
      <c r="N562" s="48"/>
    </row>
    <row r="563">
      <c r="G563" s="44"/>
      <c r="J563" s="45"/>
      <c r="N563" s="48"/>
    </row>
    <row r="564">
      <c r="G564" s="44"/>
      <c r="J564" s="45"/>
      <c r="N564" s="48"/>
    </row>
    <row r="565">
      <c r="G565" s="44"/>
      <c r="J565" s="45"/>
      <c r="N565" s="48"/>
    </row>
    <row r="566">
      <c r="G566" s="44"/>
      <c r="J566" s="45"/>
      <c r="N566" s="48"/>
    </row>
    <row r="567">
      <c r="G567" s="44"/>
      <c r="J567" s="45"/>
      <c r="N567" s="48"/>
    </row>
    <row r="568">
      <c r="G568" s="44"/>
      <c r="J568" s="45"/>
      <c r="N568" s="48"/>
    </row>
    <row r="569">
      <c r="G569" s="44"/>
      <c r="J569" s="45"/>
      <c r="N569" s="48"/>
    </row>
    <row r="570">
      <c r="G570" s="44"/>
      <c r="J570" s="45"/>
      <c r="N570" s="48"/>
    </row>
    <row r="571">
      <c r="G571" s="44"/>
      <c r="J571" s="45"/>
      <c r="N571" s="48"/>
    </row>
    <row r="572">
      <c r="G572" s="44"/>
      <c r="J572" s="45"/>
      <c r="N572" s="48"/>
    </row>
    <row r="573">
      <c r="G573" s="44"/>
      <c r="J573" s="45"/>
      <c r="N573" s="48"/>
    </row>
    <row r="574">
      <c r="G574" s="44"/>
      <c r="J574" s="45"/>
      <c r="N574" s="48"/>
    </row>
    <row r="575">
      <c r="G575" s="44"/>
      <c r="J575" s="45"/>
      <c r="N575" s="48"/>
    </row>
    <row r="576">
      <c r="G576" s="44"/>
      <c r="J576" s="45"/>
      <c r="N576" s="48"/>
    </row>
    <row r="577">
      <c r="G577" s="44"/>
      <c r="J577" s="45"/>
      <c r="N577" s="48"/>
    </row>
    <row r="578">
      <c r="G578" s="44"/>
      <c r="J578" s="45"/>
      <c r="N578" s="48"/>
    </row>
    <row r="579">
      <c r="G579" s="44"/>
      <c r="J579" s="45"/>
      <c r="N579" s="48"/>
    </row>
    <row r="580">
      <c r="G580" s="44"/>
      <c r="J580" s="45"/>
      <c r="N580" s="48"/>
    </row>
    <row r="581">
      <c r="G581" s="44"/>
      <c r="J581" s="45"/>
      <c r="N581" s="48"/>
    </row>
    <row r="582">
      <c r="G582" s="44"/>
      <c r="J582" s="45"/>
      <c r="N582" s="48"/>
    </row>
    <row r="583">
      <c r="G583" s="44"/>
      <c r="J583" s="45"/>
      <c r="N583" s="48"/>
    </row>
    <row r="584">
      <c r="G584" s="44"/>
      <c r="J584" s="45"/>
      <c r="N584" s="48"/>
    </row>
    <row r="585">
      <c r="G585" s="44"/>
      <c r="J585" s="45"/>
      <c r="N585" s="48"/>
    </row>
    <row r="586">
      <c r="G586" s="44"/>
      <c r="J586" s="45"/>
      <c r="N586" s="48"/>
    </row>
    <row r="587">
      <c r="G587" s="44"/>
      <c r="J587" s="45"/>
      <c r="N587" s="48"/>
    </row>
    <row r="588">
      <c r="G588" s="44"/>
      <c r="J588" s="45"/>
      <c r="N588" s="48"/>
    </row>
    <row r="589">
      <c r="G589" s="44"/>
      <c r="J589" s="45"/>
      <c r="N589" s="48"/>
    </row>
    <row r="590">
      <c r="G590" s="44"/>
      <c r="J590" s="45"/>
      <c r="N590" s="48"/>
    </row>
    <row r="591">
      <c r="G591" s="44"/>
      <c r="J591" s="45"/>
      <c r="N591" s="48"/>
    </row>
    <row r="592">
      <c r="G592" s="44"/>
      <c r="J592" s="45"/>
      <c r="N592" s="48"/>
    </row>
    <row r="593">
      <c r="G593" s="44"/>
      <c r="J593" s="45"/>
      <c r="N593" s="48"/>
    </row>
    <row r="594">
      <c r="G594" s="44"/>
      <c r="J594" s="45"/>
      <c r="N594" s="48"/>
    </row>
    <row r="595">
      <c r="G595" s="44"/>
      <c r="J595" s="45"/>
      <c r="N595" s="48"/>
    </row>
    <row r="596">
      <c r="G596" s="44"/>
      <c r="J596" s="45"/>
      <c r="N596" s="48"/>
    </row>
    <row r="597">
      <c r="G597" s="44"/>
      <c r="J597" s="45"/>
      <c r="N597" s="48"/>
    </row>
    <row r="598">
      <c r="G598" s="44"/>
      <c r="J598" s="45"/>
      <c r="N598" s="48"/>
    </row>
    <row r="599">
      <c r="G599" s="44"/>
      <c r="J599" s="45"/>
      <c r="N599" s="48"/>
    </row>
    <row r="600">
      <c r="G600" s="44"/>
      <c r="J600" s="45"/>
      <c r="N600" s="48"/>
    </row>
    <row r="601">
      <c r="G601" s="44"/>
      <c r="J601" s="45"/>
      <c r="N601" s="48"/>
    </row>
    <row r="602">
      <c r="G602" s="44"/>
      <c r="J602" s="45"/>
      <c r="N602" s="48"/>
    </row>
    <row r="603">
      <c r="G603" s="44"/>
      <c r="J603" s="45"/>
      <c r="N603" s="48"/>
    </row>
    <row r="604">
      <c r="G604" s="44"/>
      <c r="J604" s="45"/>
      <c r="N604" s="48"/>
    </row>
    <row r="605">
      <c r="G605" s="44"/>
      <c r="J605" s="45"/>
      <c r="N605" s="48"/>
    </row>
    <row r="606">
      <c r="G606" s="44"/>
      <c r="J606" s="45"/>
      <c r="N606" s="48"/>
    </row>
    <row r="607">
      <c r="G607" s="44"/>
      <c r="J607" s="45"/>
      <c r="N607" s="48"/>
    </row>
    <row r="608">
      <c r="G608" s="44"/>
      <c r="J608" s="45"/>
      <c r="N608" s="48"/>
    </row>
    <row r="609">
      <c r="G609" s="44"/>
      <c r="J609" s="45"/>
      <c r="N609" s="48"/>
    </row>
    <row r="610">
      <c r="G610" s="44"/>
      <c r="J610" s="45"/>
      <c r="N610" s="48"/>
    </row>
    <row r="611">
      <c r="G611" s="44"/>
      <c r="J611" s="45"/>
      <c r="N611" s="48"/>
    </row>
    <row r="612">
      <c r="G612" s="44"/>
      <c r="J612" s="45"/>
      <c r="N612" s="48"/>
    </row>
    <row r="613">
      <c r="G613" s="44"/>
      <c r="J613" s="45"/>
      <c r="N613" s="48"/>
    </row>
    <row r="614">
      <c r="G614" s="44"/>
      <c r="J614" s="45"/>
      <c r="N614" s="48"/>
    </row>
    <row r="615">
      <c r="G615" s="44"/>
      <c r="J615" s="45"/>
      <c r="N615" s="48"/>
    </row>
    <row r="616">
      <c r="G616" s="44"/>
      <c r="J616" s="45"/>
      <c r="N616" s="48"/>
    </row>
    <row r="617">
      <c r="G617" s="44"/>
      <c r="J617" s="45"/>
      <c r="N617" s="48"/>
    </row>
    <row r="618">
      <c r="G618" s="44"/>
      <c r="J618" s="45"/>
      <c r="N618" s="48"/>
    </row>
    <row r="619">
      <c r="G619" s="44"/>
      <c r="J619" s="45"/>
      <c r="N619" s="48"/>
    </row>
    <row r="620">
      <c r="G620" s="44"/>
      <c r="J620" s="45"/>
      <c r="N620" s="48"/>
    </row>
    <row r="621">
      <c r="G621" s="44"/>
      <c r="J621" s="45"/>
      <c r="N621" s="48"/>
    </row>
    <row r="622">
      <c r="G622" s="44"/>
      <c r="J622" s="45"/>
      <c r="N622" s="48"/>
    </row>
    <row r="623">
      <c r="G623" s="44"/>
      <c r="J623" s="45"/>
      <c r="N623" s="48"/>
    </row>
    <row r="624">
      <c r="G624" s="44"/>
      <c r="J624" s="45"/>
      <c r="N624" s="48"/>
    </row>
    <row r="625">
      <c r="G625" s="44"/>
      <c r="J625" s="45"/>
      <c r="N625" s="48"/>
    </row>
    <row r="626">
      <c r="G626" s="44"/>
      <c r="J626" s="45"/>
      <c r="N626" s="48"/>
    </row>
    <row r="627">
      <c r="G627" s="44"/>
      <c r="J627" s="45"/>
      <c r="N627" s="48"/>
    </row>
    <row r="628">
      <c r="G628" s="44"/>
      <c r="J628" s="45"/>
      <c r="N628" s="48"/>
    </row>
    <row r="629">
      <c r="G629" s="44"/>
      <c r="J629" s="45"/>
      <c r="N629" s="48"/>
    </row>
    <row r="630">
      <c r="G630" s="44"/>
      <c r="J630" s="45"/>
      <c r="N630" s="48"/>
    </row>
    <row r="631">
      <c r="G631" s="44"/>
      <c r="J631" s="45"/>
      <c r="N631" s="48"/>
    </row>
    <row r="632">
      <c r="G632" s="44"/>
      <c r="J632" s="45"/>
      <c r="N632" s="48"/>
    </row>
    <row r="633">
      <c r="G633" s="44"/>
      <c r="J633" s="45"/>
      <c r="N633" s="48"/>
    </row>
    <row r="634">
      <c r="G634" s="44"/>
      <c r="J634" s="45"/>
      <c r="N634" s="48"/>
    </row>
    <row r="635">
      <c r="G635" s="44"/>
      <c r="J635" s="45"/>
      <c r="N635" s="48"/>
    </row>
    <row r="636">
      <c r="G636" s="44"/>
      <c r="J636" s="45"/>
      <c r="N636" s="48"/>
    </row>
    <row r="637">
      <c r="G637" s="44"/>
      <c r="J637" s="45"/>
      <c r="N637" s="48"/>
    </row>
    <row r="638">
      <c r="G638" s="44"/>
      <c r="J638" s="45"/>
      <c r="N638" s="48"/>
    </row>
    <row r="639">
      <c r="G639" s="44"/>
      <c r="J639" s="45"/>
      <c r="N639" s="48"/>
    </row>
    <row r="640">
      <c r="G640" s="44"/>
      <c r="J640" s="45"/>
      <c r="N640" s="48"/>
    </row>
    <row r="641">
      <c r="G641" s="44"/>
      <c r="J641" s="45"/>
      <c r="N641" s="48"/>
    </row>
    <row r="642">
      <c r="G642" s="44"/>
      <c r="J642" s="45"/>
      <c r="N642" s="48"/>
    </row>
    <row r="643">
      <c r="G643" s="44"/>
      <c r="J643" s="45"/>
      <c r="N643" s="48"/>
    </row>
    <row r="644">
      <c r="G644" s="44"/>
      <c r="J644" s="45"/>
      <c r="N644" s="48"/>
    </row>
    <row r="645">
      <c r="G645" s="44"/>
      <c r="J645" s="45"/>
      <c r="N645" s="48"/>
    </row>
    <row r="646">
      <c r="G646" s="44"/>
      <c r="J646" s="45"/>
      <c r="N646" s="48"/>
    </row>
    <row r="647">
      <c r="G647" s="44"/>
      <c r="J647" s="45"/>
      <c r="N647" s="48"/>
    </row>
    <row r="648">
      <c r="G648" s="44"/>
      <c r="J648" s="45"/>
      <c r="N648" s="48"/>
    </row>
    <row r="649">
      <c r="G649" s="44"/>
      <c r="J649" s="45"/>
      <c r="N649" s="48"/>
    </row>
    <row r="650">
      <c r="G650" s="44"/>
      <c r="J650" s="45"/>
      <c r="N650" s="48"/>
    </row>
    <row r="651">
      <c r="G651" s="44"/>
      <c r="J651" s="45"/>
      <c r="N651" s="48"/>
    </row>
    <row r="652">
      <c r="G652" s="44"/>
      <c r="J652" s="45"/>
      <c r="N652" s="48"/>
    </row>
    <row r="653">
      <c r="G653" s="44"/>
      <c r="J653" s="45"/>
      <c r="N653" s="48"/>
    </row>
    <row r="654">
      <c r="G654" s="44"/>
      <c r="J654" s="45"/>
      <c r="N654" s="48"/>
    </row>
    <row r="655">
      <c r="G655" s="44"/>
      <c r="J655" s="45"/>
      <c r="N655" s="48"/>
    </row>
    <row r="656">
      <c r="G656" s="44"/>
      <c r="J656" s="45"/>
      <c r="N656" s="48"/>
    </row>
    <row r="657">
      <c r="G657" s="44"/>
      <c r="J657" s="45"/>
      <c r="N657" s="48"/>
    </row>
    <row r="658">
      <c r="G658" s="44"/>
      <c r="J658" s="45"/>
      <c r="N658" s="48"/>
    </row>
    <row r="659">
      <c r="G659" s="44"/>
      <c r="J659" s="45"/>
      <c r="N659" s="48"/>
    </row>
    <row r="660">
      <c r="G660" s="44"/>
      <c r="J660" s="45"/>
      <c r="N660" s="48"/>
    </row>
    <row r="661">
      <c r="G661" s="44"/>
      <c r="J661" s="45"/>
      <c r="N661" s="48"/>
    </row>
    <row r="662">
      <c r="G662" s="44"/>
      <c r="J662" s="45"/>
      <c r="N662" s="48"/>
    </row>
    <row r="663">
      <c r="G663" s="44"/>
      <c r="J663" s="45"/>
      <c r="N663" s="48"/>
    </row>
    <row r="664">
      <c r="G664" s="44"/>
      <c r="J664" s="45"/>
      <c r="N664" s="48"/>
    </row>
    <row r="665">
      <c r="G665" s="44"/>
      <c r="J665" s="45"/>
      <c r="N665" s="48"/>
    </row>
    <row r="666">
      <c r="G666" s="44"/>
      <c r="J666" s="45"/>
      <c r="N666" s="48"/>
    </row>
    <row r="667">
      <c r="G667" s="44"/>
      <c r="J667" s="45"/>
      <c r="N667" s="48"/>
    </row>
    <row r="668">
      <c r="G668" s="44"/>
      <c r="J668" s="45"/>
      <c r="N668" s="48"/>
    </row>
    <row r="669">
      <c r="G669" s="44"/>
      <c r="J669" s="45"/>
      <c r="N669" s="48"/>
    </row>
    <row r="670">
      <c r="G670" s="44"/>
      <c r="J670" s="45"/>
      <c r="N670" s="48"/>
    </row>
    <row r="671">
      <c r="G671" s="44"/>
      <c r="J671" s="45"/>
      <c r="N671" s="48"/>
    </row>
    <row r="672">
      <c r="G672" s="44"/>
      <c r="J672" s="45"/>
      <c r="N672" s="48"/>
    </row>
    <row r="673">
      <c r="G673" s="44"/>
      <c r="J673" s="45"/>
      <c r="N673" s="48"/>
    </row>
    <row r="674">
      <c r="G674" s="44"/>
      <c r="J674" s="45"/>
      <c r="N674" s="48"/>
    </row>
    <row r="675">
      <c r="G675" s="44"/>
      <c r="J675" s="45"/>
      <c r="N675" s="48"/>
    </row>
    <row r="676">
      <c r="G676" s="44"/>
      <c r="J676" s="45"/>
      <c r="N676" s="48"/>
    </row>
    <row r="677">
      <c r="G677" s="44"/>
      <c r="J677" s="45"/>
      <c r="N677" s="48"/>
    </row>
    <row r="678">
      <c r="G678" s="44"/>
      <c r="J678" s="45"/>
      <c r="N678" s="48"/>
    </row>
    <row r="679">
      <c r="G679" s="44"/>
      <c r="J679" s="45"/>
      <c r="N679" s="48"/>
    </row>
    <row r="680">
      <c r="G680" s="44"/>
      <c r="J680" s="45"/>
      <c r="N680" s="48"/>
    </row>
    <row r="681">
      <c r="G681" s="44"/>
      <c r="J681" s="45"/>
      <c r="N681" s="48"/>
    </row>
    <row r="682">
      <c r="G682" s="44"/>
      <c r="J682" s="45"/>
      <c r="N682" s="48"/>
    </row>
    <row r="683">
      <c r="G683" s="44"/>
      <c r="J683" s="45"/>
      <c r="N683" s="48"/>
    </row>
    <row r="684">
      <c r="G684" s="44"/>
      <c r="J684" s="45"/>
      <c r="N684" s="48"/>
    </row>
    <row r="685">
      <c r="G685" s="44"/>
      <c r="J685" s="45"/>
      <c r="N685" s="48"/>
    </row>
    <row r="686">
      <c r="G686" s="44"/>
      <c r="J686" s="45"/>
      <c r="N686" s="48"/>
    </row>
    <row r="687">
      <c r="G687" s="44"/>
      <c r="J687" s="45"/>
      <c r="N687" s="48"/>
    </row>
    <row r="688">
      <c r="G688" s="44"/>
      <c r="J688" s="45"/>
      <c r="N688" s="48"/>
    </row>
    <row r="689">
      <c r="G689" s="44"/>
      <c r="J689" s="45"/>
      <c r="N689" s="48"/>
    </row>
    <row r="690">
      <c r="G690" s="44"/>
      <c r="J690" s="45"/>
      <c r="N690" s="48"/>
    </row>
    <row r="691">
      <c r="G691" s="44"/>
      <c r="J691" s="45"/>
      <c r="N691" s="48"/>
    </row>
    <row r="692">
      <c r="G692" s="44"/>
      <c r="J692" s="45"/>
      <c r="N692" s="48"/>
    </row>
    <row r="693">
      <c r="G693" s="44"/>
      <c r="J693" s="45"/>
      <c r="N693" s="48"/>
    </row>
    <row r="694">
      <c r="G694" s="44"/>
      <c r="J694" s="45"/>
      <c r="N694" s="48"/>
    </row>
    <row r="695">
      <c r="G695" s="44"/>
      <c r="J695" s="45"/>
      <c r="N695" s="48"/>
    </row>
    <row r="696">
      <c r="G696" s="44"/>
      <c r="J696" s="45"/>
      <c r="N696" s="48"/>
    </row>
    <row r="697">
      <c r="G697" s="44"/>
      <c r="J697" s="45"/>
      <c r="N697" s="48"/>
    </row>
    <row r="698">
      <c r="G698" s="44"/>
      <c r="J698" s="45"/>
      <c r="N698" s="48"/>
    </row>
    <row r="699">
      <c r="G699" s="44"/>
      <c r="J699" s="45"/>
      <c r="N699" s="48"/>
    </row>
    <row r="700">
      <c r="G700" s="44"/>
      <c r="J700" s="45"/>
      <c r="N700" s="48"/>
    </row>
    <row r="701">
      <c r="G701" s="44"/>
      <c r="J701" s="45"/>
      <c r="N701" s="48"/>
    </row>
    <row r="702">
      <c r="G702" s="44"/>
      <c r="J702" s="45"/>
      <c r="N702" s="48"/>
    </row>
    <row r="703">
      <c r="G703" s="44"/>
      <c r="J703" s="45"/>
      <c r="N703" s="48"/>
    </row>
    <row r="704">
      <c r="G704" s="44"/>
      <c r="J704" s="45"/>
      <c r="N704" s="48"/>
    </row>
    <row r="705">
      <c r="G705" s="44"/>
      <c r="J705" s="45"/>
      <c r="N705" s="48"/>
    </row>
    <row r="706">
      <c r="G706" s="44"/>
      <c r="J706" s="45"/>
      <c r="N706" s="48"/>
    </row>
    <row r="707">
      <c r="G707" s="44"/>
      <c r="J707" s="45"/>
      <c r="N707" s="48"/>
    </row>
    <row r="708">
      <c r="G708" s="44"/>
      <c r="J708" s="45"/>
      <c r="N708" s="48"/>
    </row>
    <row r="709">
      <c r="G709" s="44"/>
      <c r="J709" s="45"/>
      <c r="N709" s="48"/>
    </row>
    <row r="710">
      <c r="G710" s="44"/>
      <c r="J710" s="45"/>
      <c r="N710" s="48"/>
    </row>
    <row r="711">
      <c r="G711" s="44"/>
      <c r="J711" s="45"/>
      <c r="N711" s="48"/>
    </row>
    <row r="712">
      <c r="G712" s="44"/>
      <c r="J712" s="45"/>
      <c r="N712" s="48"/>
    </row>
    <row r="713">
      <c r="G713" s="44"/>
      <c r="J713" s="45"/>
      <c r="N713" s="48"/>
    </row>
    <row r="714">
      <c r="G714" s="44"/>
      <c r="J714" s="45"/>
      <c r="N714" s="48"/>
    </row>
    <row r="715">
      <c r="G715" s="44"/>
      <c r="J715" s="45"/>
      <c r="N715" s="48"/>
    </row>
    <row r="716">
      <c r="G716" s="44"/>
      <c r="J716" s="45"/>
      <c r="N716" s="48"/>
    </row>
    <row r="717">
      <c r="G717" s="44"/>
      <c r="J717" s="45"/>
      <c r="N717" s="48"/>
    </row>
    <row r="718">
      <c r="G718" s="44"/>
      <c r="J718" s="45"/>
      <c r="N718" s="48"/>
    </row>
    <row r="719">
      <c r="G719" s="44"/>
      <c r="J719" s="45"/>
      <c r="N719" s="48"/>
    </row>
    <row r="720">
      <c r="G720" s="44"/>
      <c r="J720" s="45"/>
      <c r="N720" s="48"/>
    </row>
    <row r="721">
      <c r="G721" s="44"/>
      <c r="J721" s="45"/>
      <c r="N721" s="48"/>
    </row>
    <row r="722">
      <c r="G722" s="44"/>
      <c r="J722" s="45"/>
      <c r="N722" s="48"/>
    </row>
    <row r="723">
      <c r="G723" s="44"/>
      <c r="J723" s="45"/>
      <c r="N723" s="48"/>
    </row>
    <row r="724">
      <c r="G724" s="44"/>
      <c r="J724" s="45"/>
      <c r="N724" s="48"/>
    </row>
    <row r="725">
      <c r="G725" s="44"/>
      <c r="J725" s="45"/>
      <c r="N725" s="48"/>
    </row>
    <row r="726">
      <c r="G726" s="44"/>
      <c r="J726" s="45"/>
      <c r="N726" s="48"/>
    </row>
    <row r="727">
      <c r="G727" s="44"/>
      <c r="J727" s="45"/>
      <c r="N727" s="48"/>
    </row>
    <row r="728">
      <c r="G728" s="44"/>
      <c r="J728" s="45"/>
      <c r="N728" s="48"/>
    </row>
    <row r="729">
      <c r="G729" s="44"/>
      <c r="J729" s="45"/>
      <c r="N729" s="48"/>
    </row>
    <row r="730">
      <c r="G730" s="44"/>
      <c r="J730" s="45"/>
      <c r="N730" s="48"/>
    </row>
    <row r="731">
      <c r="G731" s="44"/>
      <c r="J731" s="45"/>
      <c r="N731" s="48"/>
    </row>
    <row r="732">
      <c r="G732" s="44"/>
      <c r="J732" s="45"/>
      <c r="N732" s="48"/>
    </row>
    <row r="733">
      <c r="G733" s="44"/>
      <c r="J733" s="45"/>
      <c r="N733" s="48"/>
    </row>
    <row r="734">
      <c r="G734" s="44"/>
      <c r="J734" s="45"/>
      <c r="N734" s="48"/>
    </row>
    <row r="735">
      <c r="G735" s="44"/>
      <c r="J735" s="45"/>
      <c r="N735" s="48"/>
    </row>
    <row r="736">
      <c r="G736" s="44"/>
      <c r="J736" s="45"/>
      <c r="N736" s="48"/>
    </row>
    <row r="737">
      <c r="G737" s="44"/>
      <c r="J737" s="45"/>
      <c r="N737" s="48"/>
    </row>
    <row r="738">
      <c r="G738" s="44"/>
      <c r="J738" s="45"/>
      <c r="N738" s="48"/>
    </row>
    <row r="739">
      <c r="G739" s="44"/>
      <c r="J739" s="45"/>
      <c r="N739" s="48"/>
    </row>
    <row r="740">
      <c r="G740" s="44"/>
      <c r="J740" s="45"/>
      <c r="N740" s="48"/>
    </row>
    <row r="741">
      <c r="G741" s="44"/>
      <c r="J741" s="45"/>
      <c r="N741" s="48"/>
    </row>
    <row r="742">
      <c r="G742" s="44"/>
      <c r="J742" s="45"/>
      <c r="N742" s="48"/>
    </row>
    <row r="743">
      <c r="G743" s="44"/>
      <c r="J743" s="45"/>
      <c r="N743" s="48"/>
    </row>
    <row r="744">
      <c r="G744" s="44"/>
      <c r="J744" s="45"/>
      <c r="N744" s="48"/>
    </row>
    <row r="745">
      <c r="G745" s="44"/>
      <c r="J745" s="45"/>
      <c r="N745" s="48"/>
    </row>
    <row r="746">
      <c r="G746" s="44"/>
      <c r="J746" s="45"/>
      <c r="N746" s="48"/>
    </row>
    <row r="747">
      <c r="G747" s="44"/>
      <c r="J747" s="45"/>
      <c r="N747" s="48"/>
    </row>
    <row r="748">
      <c r="G748" s="44"/>
      <c r="J748" s="45"/>
      <c r="N748" s="48"/>
    </row>
    <row r="749">
      <c r="G749" s="44"/>
      <c r="J749" s="45"/>
      <c r="N749" s="48"/>
    </row>
    <row r="750">
      <c r="G750" s="44"/>
      <c r="J750" s="45"/>
      <c r="N750" s="48"/>
    </row>
    <row r="751">
      <c r="G751" s="44"/>
      <c r="J751" s="45"/>
      <c r="N751" s="48"/>
    </row>
    <row r="752">
      <c r="G752" s="44"/>
      <c r="J752" s="45"/>
      <c r="N752" s="48"/>
    </row>
    <row r="753">
      <c r="G753" s="44"/>
      <c r="J753" s="45"/>
      <c r="N753" s="48"/>
    </row>
    <row r="754">
      <c r="G754" s="44"/>
      <c r="J754" s="45"/>
      <c r="N754" s="48"/>
    </row>
    <row r="755">
      <c r="G755" s="44"/>
      <c r="J755" s="45"/>
      <c r="N755" s="48"/>
    </row>
    <row r="756">
      <c r="G756" s="44"/>
      <c r="J756" s="45"/>
      <c r="N756" s="48"/>
    </row>
    <row r="757">
      <c r="G757" s="44"/>
      <c r="J757" s="45"/>
      <c r="N757" s="48"/>
    </row>
    <row r="758">
      <c r="G758" s="44"/>
      <c r="J758" s="45"/>
      <c r="N758" s="48"/>
    </row>
    <row r="759">
      <c r="G759" s="44"/>
      <c r="J759" s="45"/>
      <c r="N759" s="48"/>
    </row>
    <row r="760">
      <c r="G760" s="44"/>
      <c r="J760" s="45"/>
      <c r="N760" s="48"/>
    </row>
    <row r="761">
      <c r="G761" s="44"/>
      <c r="J761" s="45"/>
      <c r="N761" s="48"/>
    </row>
    <row r="762">
      <c r="G762" s="44"/>
      <c r="J762" s="45"/>
      <c r="N762" s="48"/>
    </row>
    <row r="763">
      <c r="G763" s="44"/>
      <c r="J763" s="45"/>
      <c r="N763" s="48"/>
    </row>
    <row r="764">
      <c r="G764" s="44"/>
      <c r="J764" s="45"/>
      <c r="N764" s="48"/>
    </row>
    <row r="765">
      <c r="G765" s="44"/>
      <c r="J765" s="45"/>
      <c r="N765" s="48"/>
    </row>
    <row r="766">
      <c r="G766" s="44"/>
      <c r="J766" s="45"/>
      <c r="N766" s="48"/>
    </row>
    <row r="767">
      <c r="G767" s="44"/>
      <c r="J767" s="45"/>
      <c r="N767" s="48"/>
    </row>
    <row r="768">
      <c r="G768" s="44"/>
      <c r="J768" s="45"/>
      <c r="N768" s="48"/>
    </row>
    <row r="769">
      <c r="G769" s="44"/>
      <c r="J769" s="45"/>
      <c r="N769" s="48"/>
    </row>
    <row r="770">
      <c r="G770" s="44"/>
      <c r="J770" s="45"/>
      <c r="N770" s="48"/>
    </row>
    <row r="771">
      <c r="G771" s="44"/>
      <c r="J771" s="45"/>
      <c r="N771" s="48"/>
    </row>
    <row r="772">
      <c r="G772" s="44"/>
      <c r="J772" s="45"/>
      <c r="N772" s="48"/>
    </row>
    <row r="773">
      <c r="G773" s="44"/>
      <c r="J773" s="45"/>
      <c r="N773" s="48"/>
    </row>
    <row r="774">
      <c r="G774" s="44"/>
      <c r="J774" s="45"/>
      <c r="N774" s="48"/>
    </row>
    <row r="775">
      <c r="G775" s="44"/>
      <c r="J775" s="45"/>
      <c r="N775" s="48"/>
    </row>
    <row r="776">
      <c r="G776" s="44"/>
      <c r="J776" s="45"/>
      <c r="N776" s="48"/>
    </row>
    <row r="777">
      <c r="G777" s="44"/>
      <c r="J777" s="45"/>
      <c r="N777" s="48"/>
    </row>
    <row r="778">
      <c r="G778" s="44"/>
      <c r="J778" s="45"/>
      <c r="N778" s="48"/>
    </row>
    <row r="779">
      <c r="G779" s="44"/>
      <c r="J779" s="45"/>
      <c r="N779" s="48"/>
    </row>
    <row r="780">
      <c r="G780" s="44"/>
      <c r="J780" s="45"/>
      <c r="N780" s="48"/>
    </row>
    <row r="781">
      <c r="G781" s="44"/>
      <c r="J781" s="45"/>
      <c r="N781" s="48"/>
    </row>
    <row r="782">
      <c r="G782" s="44"/>
      <c r="J782" s="45"/>
      <c r="N782" s="48"/>
    </row>
    <row r="783">
      <c r="G783" s="44"/>
      <c r="J783" s="45"/>
      <c r="N783" s="48"/>
    </row>
    <row r="784">
      <c r="G784" s="44"/>
      <c r="J784" s="45"/>
      <c r="N784" s="48"/>
    </row>
    <row r="785">
      <c r="G785" s="44"/>
      <c r="J785" s="45"/>
      <c r="N785" s="48"/>
    </row>
    <row r="786">
      <c r="G786" s="44"/>
      <c r="J786" s="45"/>
      <c r="N786" s="48"/>
    </row>
    <row r="787">
      <c r="G787" s="44"/>
      <c r="J787" s="45"/>
      <c r="N787" s="48"/>
    </row>
    <row r="788">
      <c r="G788" s="44"/>
      <c r="J788" s="45"/>
      <c r="N788" s="48"/>
    </row>
    <row r="789">
      <c r="G789" s="44"/>
      <c r="J789" s="45"/>
      <c r="N789" s="48"/>
    </row>
    <row r="790">
      <c r="G790" s="44"/>
      <c r="J790" s="45"/>
      <c r="N790" s="48"/>
    </row>
    <row r="791">
      <c r="G791" s="44"/>
      <c r="J791" s="45"/>
      <c r="N791" s="48"/>
    </row>
    <row r="792">
      <c r="G792" s="44"/>
      <c r="J792" s="45"/>
      <c r="N792" s="48"/>
    </row>
    <row r="793">
      <c r="G793" s="44"/>
      <c r="J793" s="45"/>
      <c r="N793" s="48"/>
    </row>
    <row r="794">
      <c r="G794" s="44"/>
      <c r="J794" s="45"/>
      <c r="N794" s="48"/>
    </row>
    <row r="795">
      <c r="G795" s="44"/>
      <c r="J795" s="45"/>
      <c r="N795" s="48"/>
    </row>
    <row r="796">
      <c r="G796" s="44"/>
      <c r="J796" s="45"/>
      <c r="N796" s="48"/>
    </row>
    <row r="797">
      <c r="G797" s="44"/>
      <c r="J797" s="45"/>
      <c r="N797" s="48"/>
    </row>
    <row r="798">
      <c r="G798" s="44"/>
      <c r="J798" s="45"/>
      <c r="N798" s="48"/>
    </row>
    <row r="799">
      <c r="G799" s="44"/>
      <c r="J799" s="45"/>
      <c r="N799" s="48"/>
    </row>
    <row r="800">
      <c r="G800" s="44"/>
      <c r="J800" s="45"/>
      <c r="N800" s="48"/>
    </row>
    <row r="801">
      <c r="G801" s="44"/>
      <c r="J801" s="45"/>
      <c r="N801" s="48"/>
    </row>
    <row r="802">
      <c r="G802" s="44"/>
      <c r="J802" s="45"/>
      <c r="N802" s="48"/>
    </row>
    <row r="803">
      <c r="G803" s="44"/>
      <c r="J803" s="45"/>
      <c r="N803" s="48"/>
    </row>
    <row r="804">
      <c r="G804" s="44"/>
      <c r="J804" s="45"/>
      <c r="N804" s="48"/>
    </row>
    <row r="805">
      <c r="G805" s="44"/>
      <c r="J805" s="45"/>
      <c r="N805" s="48"/>
    </row>
    <row r="806">
      <c r="G806" s="44"/>
      <c r="J806" s="45"/>
      <c r="N806" s="48"/>
    </row>
    <row r="807">
      <c r="G807" s="44"/>
      <c r="J807" s="45"/>
      <c r="N807" s="48"/>
    </row>
    <row r="808">
      <c r="G808" s="44"/>
      <c r="J808" s="45"/>
      <c r="N808" s="48"/>
    </row>
    <row r="809">
      <c r="G809" s="44"/>
      <c r="J809" s="45"/>
      <c r="N809" s="48"/>
    </row>
    <row r="810">
      <c r="G810" s="44"/>
      <c r="J810" s="45"/>
      <c r="N810" s="48"/>
    </row>
    <row r="811">
      <c r="G811" s="44"/>
      <c r="J811" s="45"/>
      <c r="N811" s="48"/>
    </row>
    <row r="812">
      <c r="G812" s="44"/>
      <c r="J812" s="45"/>
      <c r="N812" s="48"/>
    </row>
    <row r="813">
      <c r="G813" s="44"/>
      <c r="J813" s="45"/>
      <c r="N813" s="48"/>
    </row>
    <row r="814">
      <c r="G814" s="44"/>
      <c r="J814" s="45"/>
      <c r="N814" s="48"/>
    </row>
    <row r="815">
      <c r="G815" s="44"/>
      <c r="J815" s="45"/>
      <c r="N815" s="48"/>
    </row>
    <row r="816">
      <c r="G816" s="44"/>
      <c r="J816" s="45"/>
      <c r="N816" s="48"/>
    </row>
    <row r="817">
      <c r="G817" s="44"/>
      <c r="J817" s="45"/>
      <c r="N817" s="48"/>
    </row>
    <row r="818">
      <c r="G818" s="44"/>
      <c r="J818" s="45"/>
      <c r="N818" s="48"/>
    </row>
    <row r="819">
      <c r="G819" s="44"/>
      <c r="J819" s="45"/>
      <c r="N819" s="48"/>
    </row>
    <row r="820">
      <c r="G820" s="44"/>
      <c r="J820" s="45"/>
      <c r="N820" s="48"/>
    </row>
    <row r="821">
      <c r="G821" s="44"/>
      <c r="J821" s="45"/>
      <c r="N821" s="48"/>
    </row>
    <row r="822">
      <c r="G822" s="44"/>
      <c r="J822" s="45"/>
      <c r="N822" s="48"/>
    </row>
    <row r="823">
      <c r="G823" s="44"/>
      <c r="J823" s="45"/>
      <c r="N823" s="48"/>
    </row>
    <row r="824">
      <c r="G824" s="44"/>
      <c r="J824" s="45"/>
      <c r="N824" s="48"/>
    </row>
    <row r="825">
      <c r="G825" s="44"/>
      <c r="J825" s="45"/>
      <c r="N825" s="48"/>
    </row>
    <row r="826">
      <c r="G826" s="44"/>
      <c r="J826" s="45"/>
      <c r="N826" s="48"/>
    </row>
    <row r="827">
      <c r="G827" s="44"/>
      <c r="J827" s="45"/>
      <c r="N827" s="48"/>
    </row>
    <row r="828">
      <c r="G828" s="44"/>
      <c r="J828" s="45"/>
      <c r="N828" s="48"/>
    </row>
    <row r="829">
      <c r="G829" s="44"/>
      <c r="J829" s="45"/>
      <c r="N829" s="48"/>
    </row>
    <row r="830">
      <c r="G830" s="44"/>
      <c r="J830" s="45"/>
      <c r="N830" s="48"/>
    </row>
    <row r="831">
      <c r="G831" s="44"/>
      <c r="J831" s="45"/>
      <c r="N831" s="48"/>
    </row>
    <row r="832">
      <c r="G832" s="44"/>
      <c r="J832" s="45"/>
      <c r="N832" s="48"/>
    </row>
    <row r="833">
      <c r="G833" s="44"/>
      <c r="J833" s="45"/>
      <c r="N833" s="48"/>
    </row>
    <row r="834">
      <c r="G834" s="44"/>
      <c r="J834" s="45"/>
      <c r="N834" s="48"/>
    </row>
    <row r="835">
      <c r="G835" s="44"/>
      <c r="J835" s="45"/>
      <c r="N835" s="48"/>
    </row>
    <row r="836">
      <c r="G836" s="44"/>
      <c r="J836" s="45"/>
      <c r="N836" s="48"/>
    </row>
    <row r="837">
      <c r="G837" s="44"/>
      <c r="J837" s="45"/>
      <c r="N837" s="48"/>
    </row>
    <row r="838">
      <c r="G838" s="44"/>
      <c r="J838" s="45"/>
      <c r="N838" s="48"/>
    </row>
    <row r="839">
      <c r="G839" s="44"/>
      <c r="J839" s="45"/>
      <c r="N839" s="48"/>
    </row>
    <row r="840">
      <c r="G840" s="44"/>
      <c r="J840" s="45"/>
      <c r="N840" s="48"/>
    </row>
    <row r="841">
      <c r="G841" s="44"/>
      <c r="J841" s="45"/>
      <c r="N841" s="48"/>
    </row>
    <row r="842">
      <c r="G842" s="44"/>
      <c r="J842" s="45"/>
      <c r="N842" s="48"/>
    </row>
    <row r="843">
      <c r="G843" s="44"/>
      <c r="J843" s="45"/>
      <c r="N843" s="48"/>
    </row>
    <row r="844">
      <c r="G844" s="44"/>
      <c r="J844" s="45"/>
      <c r="N844" s="48"/>
    </row>
    <row r="845">
      <c r="G845" s="44"/>
      <c r="J845" s="45"/>
      <c r="N845" s="48"/>
    </row>
    <row r="846">
      <c r="G846" s="44"/>
      <c r="J846" s="45"/>
      <c r="N846" s="48"/>
    </row>
    <row r="847">
      <c r="G847" s="44"/>
      <c r="J847" s="45"/>
      <c r="N847" s="48"/>
    </row>
    <row r="848">
      <c r="G848" s="44"/>
      <c r="J848" s="45"/>
      <c r="N848" s="48"/>
    </row>
    <row r="849">
      <c r="G849" s="44"/>
      <c r="J849" s="45"/>
      <c r="N849" s="48"/>
    </row>
    <row r="850">
      <c r="G850" s="44"/>
      <c r="J850" s="45"/>
      <c r="N850" s="48"/>
    </row>
    <row r="851">
      <c r="G851" s="44"/>
      <c r="J851" s="45"/>
      <c r="N851" s="48"/>
    </row>
    <row r="852">
      <c r="G852" s="44"/>
      <c r="J852" s="45"/>
      <c r="N852" s="48"/>
    </row>
    <row r="853">
      <c r="G853" s="44"/>
      <c r="J853" s="45"/>
      <c r="N853" s="48"/>
    </row>
    <row r="854">
      <c r="G854" s="44"/>
      <c r="J854" s="45"/>
      <c r="N854" s="48"/>
    </row>
    <row r="855">
      <c r="G855" s="44"/>
      <c r="J855" s="45"/>
      <c r="N855" s="48"/>
    </row>
    <row r="856">
      <c r="G856" s="44"/>
      <c r="J856" s="45"/>
      <c r="N856" s="48"/>
    </row>
    <row r="857">
      <c r="G857" s="44"/>
      <c r="J857" s="45"/>
      <c r="N857" s="48"/>
    </row>
    <row r="858">
      <c r="G858" s="44"/>
      <c r="J858" s="45"/>
      <c r="N858" s="48"/>
    </row>
    <row r="859">
      <c r="G859" s="44"/>
      <c r="J859" s="45"/>
      <c r="N859" s="48"/>
    </row>
    <row r="860">
      <c r="G860" s="44"/>
      <c r="J860" s="45"/>
      <c r="N860" s="48"/>
    </row>
    <row r="861">
      <c r="G861" s="44"/>
      <c r="J861" s="45"/>
      <c r="N861" s="48"/>
    </row>
    <row r="862">
      <c r="G862" s="44"/>
      <c r="J862" s="45"/>
      <c r="N862" s="48"/>
    </row>
    <row r="863">
      <c r="G863" s="44"/>
      <c r="J863" s="45"/>
      <c r="N863" s="48"/>
    </row>
    <row r="864">
      <c r="G864" s="44"/>
      <c r="J864" s="45"/>
      <c r="N864" s="48"/>
    </row>
    <row r="865">
      <c r="G865" s="44"/>
      <c r="J865" s="45"/>
      <c r="N865" s="48"/>
    </row>
    <row r="866">
      <c r="G866" s="44"/>
      <c r="J866" s="45"/>
      <c r="N866" s="48"/>
    </row>
    <row r="867">
      <c r="G867" s="44"/>
      <c r="J867" s="45"/>
      <c r="N867" s="48"/>
    </row>
    <row r="868">
      <c r="G868" s="44"/>
      <c r="J868" s="45"/>
      <c r="N868" s="48"/>
    </row>
    <row r="869">
      <c r="G869" s="44"/>
      <c r="J869" s="45"/>
      <c r="N869" s="48"/>
    </row>
    <row r="870">
      <c r="G870" s="44"/>
      <c r="J870" s="45"/>
      <c r="N870" s="48"/>
    </row>
    <row r="871">
      <c r="G871" s="44"/>
      <c r="J871" s="45"/>
      <c r="N871" s="48"/>
    </row>
    <row r="872">
      <c r="G872" s="44"/>
      <c r="J872" s="45"/>
      <c r="N872" s="48"/>
    </row>
    <row r="873">
      <c r="G873" s="44"/>
      <c r="J873" s="45"/>
      <c r="N873" s="48"/>
    </row>
    <row r="874">
      <c r="G874" s="44"/>
      <c r="J874" s="45"/>
      <c r="N874" s="48"/>
    </row>
    <row r="875">
      <c r="G875" s="44"/>
      <c r="J875" s="45"/>
      <c r="N875" s="48"/>
    </row>
    <row r="876">
      <c r="G876" s="44"/>
      <c r="J876" s="45"/>
      <c r="N876" s="48"/>
    </row>
    <row r="877">
      <c r="G877" s="44"/>
      <c r="J877" s="45"/>
      <c r="N877" s="48"/>
    </row>
    <row r="878">
      <c r="G878" s="44"/>
      <c r="J878" s="45"/>
      <c r="N878" s="48"/>
    </row>
    <row r="879">
      <c r="G879" s="44"/>
      <c r="J879" s="45"/>
      <c r="N879" s="48"/>
    </row>
    <row r="880">
      <c r="G880" s="44"/>
      <c r="J880" s="45"/>
      <c r="N880" s="48"/>
    </row>
    <row r="881">
      <c r="G881" s="44"/>
      <c r="J881" s="45"/>
      <c r="N881" s="48"/>
    </row>
    <row r="882">
      <c r="G882" s="44"/>
      <c r="J882" s="45"/>
      <c r="N882" s="48"/>
    </row>
    <row r="883">
      <c r="G883" s="44"/>
      <c r="J883" s="45"/>
      <c r="N883" s="48"/>
    </row>
    <row r="884">
      <c r="G884" s="44"/>
      <c r="J884" s="45"/>
      <c r="N884" s="48"/>
    </row>
    <row r="885">
      <c r="G885" s="44"/>
      <c r="J885" s="45"/>
      <c r="N885" s="48"/>
    </row>
    <row r="886">
      <c r="G886" s="44"/>
      <c r="J886" s="45"/>
      <c r="N886" s="48"/>
    </row>
    <row r="887">
      <c r="G887" s="44"/>
      <c r="J887" s="45"/>
      <c r="N887" s="48"/>
    </row>
    <row r="888">
      <c r="G888" s="44"/>
      <c r="J888" s="45"/>
      <c r="N888" s="48"/>
    </row>
    <row r="889">
      <c r="G889" s="44"/>
      <c r="J889" s="45"/>
      <c r="N889" s="48"/>
    </row>
    <row r="890">
      <c r="G890" s="44"/>
      <c r="J890" s="45"/>
      <c r="N890" s="48"/>
    </row>
    <row r="891">
      <c r="G891" s="44"/>
      <c r="J891" s="45"/>
      <c r="N891" s="48"/>
    </row>
    <row r="892">
      <c r="G892" s="44"/>
      <c r="J892" s="45"/>
      <c r="N892" s="48"/>
    </row>
    <row r="893">
      <c r="G893" s="44"/>
      <c r="J893" s="45"/>
      <c r="N893" s="48"/>
    </row>
    <row r="894">
      <c r="G894" s="44"/>
      <c r="J894" s="45"/>
      <c r="N894" s="48"/>
    </row>
    <row r="895">
      <c r="G895" s="44"/>
      <c r="J895" s="45"/>
      <c r="N895" s="48"/>
    </row>
    <row r="896">
      <c r="G896" s="44"/>
      <c r="J896" s="45"/>
      <c r="N896" s="48"/>
    </row>
    <row r="897">
      <c r="G897" s="44"/>
      <c r="J897" s="45"/>
      <c r="N897" s="48"/>
    </row>
    <row r="898">
      <c r="G898" s="44"/>
      <c r="J898" s="45"/>
      <c r="N898" s="48"/>
    </row>
    <row r="899">
      <c r="G899" s="44"/>
      <c r="J899" s="45"/>
      <c r="N899" s="48"/>
    </row>
    <row r="900">
      <c r="G900" s="44"/>
      <c r="J900" s="45"/>
      <c r="N900" s="48"/>
    </row>
    <row r="901">
      <c r="G901" s="44"/>
      <c r="J901" s="45"/>
      <c r="N901" s="48"/>
    </row>
    <row r="902">
      <c r="G902" s="44"/>
      <c r="J902" s="45"/>
      <c r="N902" s="48"/>
    </row>
    <row r="903">
      <c r="G903" s="44"/>
      <c r="J903" s="45"/>
      <c r="N903" s="48"/>
    </row>
    <row r="904">
      <c r="G904" s="44"/>
      <c r="J904" s="45"/>
      <c r="N904" s="48"/>
    </row>
    <row r="905">
      <c r="G905" s="44"/>
      <c r="J905" s="45"/>
      <c r="N905" s="48"/>
    </row>
    <row r="906">
      <c r="G906" s="44"/>
      <c r="J906" s="45"/>
      <c r="N906" s="48"/>
    </row>
    <row r="907">
      <c r="G907" s="44"/>
      <c r="J907" s="45"/>
      <c r="N907" s="48"/>
    </row>
    <row r="908">
      <c r="G908" s="44"/>
      <c r="J908" s="45"/>
      <c r="N908" s="48"/>
    </row>
    <row r="909">
      <c r="G909" s="44"/>
      <c r="J909" s="45"/>
      <c r="N909" s="48"/>
    </row>
    <row r="910">
      <c r="G910" s="44"/>
      <c r="J910" s="45"/>
      <c r="N910" s="48"/>
    </row>
    <row r="911">
      <c r="G911" s="44"/>
      <c r="J911" s="45"/>
      <c r="N911" s="48"/>
    </row>
    <row r="912">
      <c r="G912" s="44"/>
      <c r="J912" s="45"/>
      <c r="N912" s="48"/>
    </row>
    <row r="913">
      <c r="G913" s="44"/>
      <c r="J913" s="45"/>
      <c r="N913" s="48"/>
    </row>
    <row r="914">
      <c r="G914" s="44"/>
      <c r="J914" s="45"/>
      <c r="N914" s="48"/>
    </row>
    <row r="915">
      <c r="G915" s="44"/>
      <c r="J915" s="45"/>
      <c r="N915" s="48"/>
    </row>
    <row r="916">
      <c r="G916" s="44"/>
      <c r="J916" s="45"/>
      <c r="N916" s="48"/>
    </row>
    <row r="917">
      <c r="G917" s="44"/>
      <c r="J917" s="45"/>
      <c r="N917" s="48"/>
    </row>
    <row r="918">
      <c r="G918" s="44"/>
      <c r="J918" s="45"/>
      <c r="N918" s="48"/>
    </row>
    <row r="919">
      <c r="G919" s="44"/>
      <c r="J919" s="45"/>
      <c r="N919" s="48"/>
    </row>
    <row r="920">
      <c r="G920" s="44"/>
      <c r="J920" s="45"/>
      <c r="N920" s="48"/>
    </row>
    <row r="921">
      <c r="G921" s="44"/>
      <c r="J921" s="45"/>
      <c r="N921" s="48"/>
    </row>
    <row r="922">
      <c r="G922" s="44"/>
      <c r="J922" s="45"/>
      <c r="N922" s="48"/>
    </row>
    <row r="923">
      <c r="G923" s="44"/>
      <c r="J923" s="45"/>
      <c r="N923" s="48"/>
    </row>
    <row r="924">
      <c r="G924" s="44"/>
      <c r="J924" s="45"/>
      <c r="N924" s="48"/>
    </row>
    <row r="925">
      <c r="G925" s="44"/>
      <c r="J925" s="45"/>
      <c r="N925" s="48"/>
    </row>
    <row r="926">
      <c r="G926" s="44"/>
      <c r="J926" s="45"/>
      <c r="N926" s="48"/>
    </row>
    <row r="927">
      <c r="G927" s="44"/>
      <c r="J927" s="45"/>
      <c r="N927" s="48"/>
    </row>
    <row r="928">
      <c r="G928" s="44"/>
      <c r="J928" s="45"/>
      <c r="N928" s="48"/>
    </row>
    <row r="929">
      <c r="G929" s="44"/>
      <c r="J929" s="45"/>
      <c r="N929" s="48"/>
    </row>
    <row r="930">
      <c r="G930" s="44"/>
      <c r="J930" s="45"/>
      <c r="N930" s="48"/>
    </row>
    <row r="931">
      <c r="G931" s="44"/>
      <c r="J931" s="45"/>
      <c r="N931" s="48"/>
    </row>
    <row r="932">
      <c r="G932" s="44"/>
      <c r="J932" s="45"/>
      <c r="N932" s="48"/>
    </row>
    <row r="933">
      <c r="G933" s="44"/>
      <c r="J933" s="45"/>
      <c r="N933" s="48"/>
    </row>
    <row r="934">
      <c r="G934" s="44"/>
      <c r="J934" s="45"/>
      <c r="N934" s="48"/>
    </row>
    <row r="935">
      <c r="G935" s="44"/>
      <c r="J935" s="45"/>
      <c r="N935" s="48"/>
    </row>
    <row r="936">
      <c r="G936" s="44"/>
      <c r="J936" s="45"/>
      <c r="N936" s="48"/>
    </row>
    <row r="937">
      <c r="G937" s="44"/>
      <c r="J937" s="45"/>
      <c r="N937" s="48"/>
    </row>
    <row r="938">
      <c r="G938" s="44"/>
      <c r="J938" s="45"/>
      <c r="N938" s="48"/>
    </row>
    <row r="939">
      <c r="G939" s="44"/>
      <c r="J939" s="45"/>
      <c r="N939" s="48"/>
    </row>
    <row r="940">
      <c r="G940" s="44"/>
      <c r="J940" s="45"/>
      <c r="N940" s="48"/>
    </row>
    <row r="941">
      <c r="G941" s="44"/>
      <c r="J941" s="45"/>
      <c r="N941" s="48"/>
    </row>
    <row r="942">
      <c r="G942" s="44"/>
      <c r="J942" s="45"/>
      <c r="N942" s="48"/>
    </row>
    <row r="943">
      <c r="G943" s="44"/>
      <c r="J943" s="45"/>
      <c r="N943" s="48"/>
    </row>
    <row r="944">
      <c r="G944" s="44"/>
      <c r="J944" s="45"/>
      <c r="N944" s="48"/>
    </row>
    <row r="945">
      <c r="G945" s="44"/>
      <c r="J945" s="45"/>
      <c r="N945" s="48"/>
    </row>
    <row r="946">
      <c r="G946" s="44"/>
      <c r="J946" s="45"/>
      <c r="N946" s="48"/>
    </row>
    <row r="947">
      <c r="G947" s="44"/>
      <c r="J947" s="45"/>
      <c r="N947" s="48"/>
    </row>
    <row r="948">
      <c r="G948" s="44"/>
      <c r="J948" s="45"/>
      <c r="N948" s="48"/>
    </row>
    <row r="949">
      <c r="G949" s="44"/>
      <c r="J949" s="45"/>
      <c r="N949" s="48"/>
    </row>
    <row r="950">
      <c r="G950" s="44"/>
      <c r="J950" s="45"/>
      <c r="N950" s="48"/>
    </row>
    <row r="951">
      <c r="G951" s="44"/>
      <c r="J951" s="45"/>
      <c r="N951" s="48"/>
    </row>
    <row r="952">
      <c r="G952" s="44"/>
      <c r="J952" s="45"/>
      <c r="N952" s="48"/>
    </row>
    <row r="953">
      <c r="G953" s="44"/>
      <c r="J953" s="45"/>
      <c r="N953" s="48"/>
    </row>
    <row r="954">
      <c r="G954" s="44"/>
      <c r="J954" s="45"/>
      <c r="N954" s="48"/>
    </row>
    <row r="955">
      <c r="G955" s="44"/>
      <c r="J955" s="45"/>
      <c r="N955" s="48"/>
    </row>
    <row r="956">
      <c r="G956" s="44"/>
      <c r="J956" s="45"/>
      <c r="N956" s="48"/>
    </row>
    <row r="957">
      <c r="G957" s="44"/>
      <c r="J957" s="45"/>
      <c r="N957" s="48"/>
    </row>
    <row r="958">
      <c r="G958" s="44"/>
      <c r="J958" s="45"/>
      <c r="N958" s="48"/>
    </row>
    <row r="959">
      <c r="G959" s="44"/>
      <c r="J959" s="45"/>
      <c r="N959" s="48"/>
    </row>
    <row r="960">
      <c r="G960" s="44"/>
      <c r="J960" s="45"/>
      <c r="N960" s="48"/>
    </row>
    <row r="961">
      <c r="G961" s="44"/>
      <c r="J961" s="45"/>
      <c r="N961" s="48"/>
    </row>
    <row r="962">
      <c r="G962" s="44"/>
      <c r="J962" s="45"/>
      <c r="N962" s="48"/>
    </row>
    <row r="963">
      <c r="G963" s="44"/>
      <c r="J963" s="45"/>
      <c r="N963" s="48"/>
    </row>
    <row r="964">
      <c r="G964" s="44"/>
      <c r="J964" s="45"/>
      <c r="N964" s="48"/>
    </row>
    <row r="965">
      <c r="G965" s="44"/>
      <c r="J965" s="45"/>
      <c r="N965" s="48"/>
    </row>
    <row r="966">
      <c r="G966" s="44"/>
      <c r="J966" s="45"/>
      <c r="N966" s="48"/>
    </row>
    <row r="967">
      <c r="G967" s="44"/>
      <c r="J967" s="45"/>
      <c r="N967" s="48"/>
    </row>
    <row r="968">
      <c r="G968" s="44"/>
      <c r="J968" s="45"/>
      <c r="N968" s="48"/>
    </row>
    <row r="969">
      <c r="G969" s="44"/>
      <c r="J969" s="45"/>
      <c r="N969" s="48"/>
    </row>
    <row r="970">
      <c r="G970" s="44"/>
      <c r="J970" s="45"/>
      <c r="N970" s="48"/>
    </row>
    <row r="971">
      <c r="G971" s="44"/>
      <c r="J971" s="45"/>
      <c r="N971" s="48"/>
    </row>
    <row r="972">
      <c r="G972" s="44"/>
      <c r="J972" s="45"/>
      <c r="N972" s="48"/>
    </row>
    <row r="973">
      <c r="G973" s="44"/>
      <c r="J973" s="45"/>
      <c r="N973" s="48"/>
    </row>
    <row r="974">
      <c r="G974" s="44"/>
      <c r="J974" s="45"/>
      <c r="N974" s="48"/>
    </row>
    <row r="975">
      <c r="G975" s="44"/>
      <c r="J975" s="45"/>
      <c r="N975" s="48"/>
    </row>
    <row r="976">
      <c r="G976" s="44"/>
      <c r="J976" s="45"/>
      <c r="N976" s="48"/>
    </row>
    <row r="977">
      <c r="G977" s="44"/>
      <c r="J977" s="45"/>
      <c r="N977" s="48"/>
    </row>
    <row r="978">
      <c r="G978" s="44"/>
      <c r="J978" s="45"/>
      <c r="N978" s="48"/>
    </row>
    <row r="979">
      <c r="G979" s="44"/>
      <c r="J979" s="45"/>
      <c r="N979" s="48"/>
    </row>
    <row r="980">
      <c r="G980" s="44"/>
      <c r="J980" s="45"/>
      <c r="N980" s="48"/>
    </row>
    <row r="981">
      <c r="G981" s="44"/>
      <c r="J981" s="45"/>
      <c r="N981" s="48"/>
    </row>
    <row r="982">
      <c r="G982" s="44"/>
      <c r="J982" s="45"/>
      <c r="N982" s="48"/>
    </row>
    <row r="983">
      <c r="G983" s="44"/>
      <c r="J983" s="45"/>
      <c r="N983" s="48"/>
    </row>
    <row r="984">
      <c r="G984" s="44"/>
      <c r="J984" s="45"/>
      <c r="N984" s="48"/>
    </row>
    <row r="985">
      <c r="G985" s="44"/>
      <c r="J985" s="45"/>
      <c r="N985" s="48"/>
    </row>
    <row r="986">
      <c r="G986" s="44"/>
      <c r="J986" s="45"/>
      <c r="N986" s="48"/>
    </row>
    <row r="987">
      <c r="G987" s="44"/>
      <c r="J987" s="45"/>
      <c r="N987" s="48"/>
    </row>
    <row r="988">
      <c r="G988" s="44"/>
      <c r="J988" s="45"/>
      <c r="N988" s="48"/>
    </row>
    <row r="989">
      <c r="G989" s="44"/>
      <c r="J989" s="45"/>
      <c r="N989" s="48"/>
    </row>
    <row r="990">
      <c r="G990" s="44"/>
      <c r="J990" s="45"/>
      <c r="N990" s="48"/>
    </row>
    <row r="991">
      <c r="G991" s="44"/>
      <c r="J991" s="45"/>
      <c r="N991" s="48"/>
    </row>
    <row r="992">
      <c r="G992" s="44"/>
      <c r="J992" s="45"/>
      <c r="N992" s="48"/>
    </row>
    <row r="993">
      <c r="G993" s="44"/>
      <c r="J993" s="45"/>
      <c r="N993" s="48"/>
    </row>
    <row r="994">
      <c r="G994" s="44"/>
      <c r="J994" s="45"/>
      <c r="N994" s="48"/>
    </row>
    <row r="995">
      <c r="G995" s="44"/>
      <c r="J995" s="45"/>
      <c r="N995" s="48"/>
    </row>
    <row r="996">
      <c r="G996" s="44"/>
      <c r="J996" s="45"/>
      <c r="N996" s="48"/>
    </row>
    <row r="997">
      <c r="G997" s="44"/>
      <c r="J997" s="45"/>
      <c r="N997" s="48"/>
    </row>
    <row r="998">
      <c r="G998" s="44"/>
      <c r="J998" s="45"/>
      <c r="N998" s="48"/>
    </row>
    <row r="999">
      <c r="G999" s="44"/>
      <c r="J999" s="45"/>
      <c r="N999" s="48"/>
    </row>
    <row r="1000">
      <c r="G1000" s="44"/>
      <c r="J1000" s="45"/>
      <c r="N1000" s="48"/>
    </row>
  </sheetData>
  <mergeCells count="1">
    <mergeCell ref="G1: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4.0"/>
    <col customWidth="1" min="3" max="3" width="14.63"/>
    <col customWidth="1" min="4" max="4" width="24.0"/>
    <col customWidth="1" min="5" max="5" width="33.38"/>
  </cols>
  <sheetData>
    <row r="1">
      <c r="A1" s="39" t="s">
        <v>268</v>
      </c>
      <c r="B1" s="39" t="s">
        <v>276</v>
      </c>
      <c r="C1" s="39" t="s">
        <v>277</v>
      </c>
      <c r="D1" s="39" t="s">
        <v>1</v>
      </c>
      <c r="E1" s="39" t="s">
        <v>278</v>
      </c>
      <c r="F1" s="42"/>
      <c r="G1" s="42"/>
      <c r="H1" s="42"/>
      <c r="I1" s="42"/>
      <c r="J1" s="42"/>
      <c r="K1" s="42"/>
      <c r="L1" s="42"/>
      <c r="M1" s="42"/>
      <c r="N1" s="42"/>
      <c r="O1" s="42"/>
      <c r="P1" s="42"/>
      <c r="Q1" s="42"/>
      <c r="R1" s="42"/>
      <c r="S1" s="42"/>
      <c r="T1" s="42"/>
      <c r="U1" s="42"/>
      <c r="V1" s="42"/>
      <c r="W1" s="42"/>
      <c r="X1" s="42"/>
      <c r="Y1" s="42"/>
      <c r="Z1" s="42"/>
      <c r="AA1" s="42"/>
    </row>
    <row r="2">
      <c r="A2" s="46" t="s">
        <v>279</v>
      </c>
      <c r="B2" s="46" t="s">
        <v>279</v>
      </c>
      <c r="C2" s="46" t="s">
        <v>280</v>
      </c>
      <c r="D2" s="46" t="s">
        <v>281</v>
      </c>
    </row>
    <row r="3">
      <c r="A3" s="46" t="s">
        <v>282</v>
      </c>
      <c r="B3" s="46" t="s">
        <v>282</v>
      </c>
      <c r="C3" s="46" t="s">
        <v>280</v>
      </c>
      <c r="D3" s="46" t="s">
        <v>283</v>
      </c>
    </row>
    <row r="4">
      <c r="A4" s="46" t="s">
        <v>146</v>
      </c>
      <c r="B4" s="46" t="s">
        <v>146</v>
      </c>
      <c r="C4" s="46" t="s">
        <v>284</v>
      </c>
      <c r="D4" s="46" t="s">
        <v>285</v>
      </c>
    </row>
    <row r="5">
      <c r="A5" s="46" t="s">
        <v>286</v>
      </c>
      <c r="B5" s="46" t="s">
        <v>286</v>
      </c>
      <c r="C5" s="46" t="s">
        <v>280</v>
      </c>
      <c r="D5" s="46" t="s">
        <v>287</v>
      </c>
      <c r="E5" s="46" t="s">
        <v>288</v>
      </c>
    </row>
    <row r="6">
      <c r="A6" s="46" t="s">
        <v>289</v>
      </c>
      <c r="B6" s="46" t="s">
        <v>222</v>
      </c>
      <c r="C6" s="46" t="s">
        <v>284</v>
      </c>
      <c r="D6" s="46" t="s">
        <v>290</v>
      </c>
    </row>
    <row r="7">
      <c r="A7" s="46" t="s">
        <v>291</v>
      </c>
      <c r="B7" s="46" t="s">
        <v>292</v>
      </c>
      <c r="C7" s="46" t="s">
        <v>284</v>
      </c>
      <c r="D7" s="46" t="s">
        <v>293</v>
      </c>
    </row>
    <row r="8">
      <c r="A8" s="46" t="s">
        <v>65</v>
      </c>
      <c r="B8" s="46" t="s">
        <v>65</v>
      </c>
      <c r="C8" s="46" t="s">
        <v>284</v>
      </c>
      <c r="D8" s="46" t="s">
        <v>294</v>
      </c>
    </row>
    <row r="9">
      <c r="A9" s="46" t="s">
        <v>295</v>
      </c>
      <c r="B9" s="46" t="s">
        <v>151</v>
      </c>
      <c r="C9" s="46" t="s">
        <v>284</v>
      </c>
      <c r="D9" s="46" t="s">
        <v>296</v>
      </c>
      <c r="E9" s="46" t="s">
        <v>297</v>
      </c>
    </row>
    <row r="10">
      <c r="A10" s="46" t="s">
        <v>298</v>
      </c>
      <c r="B10" s="46" t="s">
        <v>298</v>
      </c>
      <c r="C10" s="46" t="s">
        <v>284</v>
      </c>
      <c r="D10" s="46" t="s">
        <v>299</v>
      </c>
      <c r="E10" s="46" t="s">
        <v>300</v>
      </c>
    </row>
    <row r="11">
      <c r="A11" s="46" t="s">
        <v>263</v>
      </c>
      <c r="B11" s="46" t="s">
        <v>263</v>
      </c>
      <c r="C11" s="46" t="s">
        <v>284</v>
      </c>
      <c r="D11" s="46" t="s">
        <v>301</v>
      </c>
    </row>
    <row r="12">
      <c r="A12" s="46" t="s">
        <v>116</v>
      </c>
      <c r="B12" s="46" t="s">
        <v>116</v>
      </c>
      <c r="C12" s="46" t="s">
        <v>302</v>
      </c>
      <c r="D12" s="46" t="s">
        <v>303</v>
      </c>
    </row>
    <row r="13">
      <c r="A13" s="46" t="s">
        <v>304</v>
      </c>
      <c r="B13" s="46" t="s">
        <v>304</v>
      </c>
      <c r="C13" s="46" t="s">
        <v>284</v>
      </c>
      <c r="D13" s="46" t="s">
        <v>305</v>
      </c>
    </row>
    <row r="14">
      <c r="A14" s="46" t="s">
        <v>306</v>
      </c>
      <c r="B14" s="46" t="s">
        <v>89</v>
      </c>
      <c r="C14" s="46" t="s">
        <v>284</v>
      </c>
      <c r="D14" s="46" t="s">
        <v>307</v>
      </c>
    </row>
    <row r="15">
      <c r="A15" s="46" t="s">
        <v>308</v>
      </c>
      <c r="B15" s="46" t="s">
        <v>308</v>
      </c>
      <c r="C15" s="46" t="s">
        <v>280</v>
      </c>
      <c r="D15" s="46" t="s">
        <v>309</v>
      </c>
    </row>
    <row r="16">
      <c r="A16" s="46" t="s">
        <v>310</v>
      </c>
      <c r="B16" s="46" t="s">
        <v>310</v>
      </c>
      <c r="C16" s="46" t="s">
        <v>280</v>
      </c>
      <c r="D16" s="46" t="s">
        <v>311</v>
      </c>
    </row>
    <row r="17">
      <c r="A17" s="46" t="s">
        <v>40</v>
      </c>
      <c r="B17" s="46" t="s">
        <v>40</v>
      </c>
      <c r="C17" s="46" t="s">
        <v>284</v>
      </c>
      <c r="D17" s="46" t="s">
        <v>312</v>
      </c>
    </row>
    <row r="18">
      <c r="A18" s="46" t="s">
        <v>208</v>
      </c>
      <c r="B18" s="46" t="s">
        <v>208</v>
      </c>
      <c r="C18" s="46" t="s">
        <v>284</v>
      </c>
      <c r="D18" s="46" t="s">
        <v>313</v>
      </c>
    </row>
    <row r="19">
      <c r="A19" s="46" t="s">
        <v>314</v>
      </c>
      <c r="B19" s="46" t="s">
        <v>314</v>
      </c>
      <c r="C19" s="46" t="s">
        <v>280</v>
      </c>
      <c r="D19" s="46" t="s">
        <v>315</v>
      </c>
      <c r="E19" s="46" t="s">
        <v>316</v>
      </c>
    </row>
    <row r="20">
      <c r="A20" s="46" t="s">
        <v>317</v>
      </c>
      <c r="B20" s="46" t="s">
        <v>101</v>
      </c>
      <c r="C20" s="46" t="s">
        <v>284</v>
      </c>
      <c r="D20" s="46" t="s">
        <v>318</v>
      </c>
    </row>
    <row r="21">
      <c r="A21" s="46" t="s">
        <v>319</v>
      </c>
      <c r="B21" s="46" t="s">
        <v>120</v>
      </c>
      <c r="C21" s="46" t="s">
        <v>284</v>
      </c>
      <c r="D21" s="46" t="s">
        <v>320</v>
      </c>
    </row>
    <row r="22">
      <c r="A22" s="46" t="s">
        <v>321</v>
      </c>
      <c r="B22" s="46" t="s">
        <v>154</v>
      </c>
      <c r="C22" s="46" t="s">
        <v>280</v>
      </c>
      <c r="D22" s="46" t="s">
        <v>322</v>
      </c>
      <c r="E22" s="46"/>
    </row>
    <row r="23">
      <c r="A23" s="46" t="s">
        <v>323</v>
      </c>
      <c r="B23" s="46" t="s">
        <v>157</v>
      </c>
      <c r="C23" s="46" t="s">
        <v>284</v>
      </c>
      <c r="D23" s="46" t="s">
        <v>324</v>
      </c>
    </row>
    <row r="24">
      <c r="A24" s="46" t="s">
        <v>325</v>
      </c>
      <c r="B24" s="46" t="s">
        <v>325</v>
      </c>
      <c r="C24" s="46" t="s">
        <v>284</v>
      </c>
      <c r="D24" s="46" t="s">
        <v>326</v>
      </c>
    </row>
    <row r="25">
      <c r="A25" s="46" t="s">
        <v>327</v>
      </c>
      <c r="B25" s="46" t="s">
        <v>327</v>
      </c>
      <c r="C25" s="46" t="s">
        <v>284</v>
      </c>
      <c r="D25" s="46" t="s">
        <v>328</v>
      </c>
    </row>
    <row r="26">
      <c r="A26" s="46" t="s">
        <v>329</v>
      </c>
      <c r="B26" s="46" t="s">
        <v>22</v>
      </c>
      <c r="C26" s="46" t="s">
        <v>330</v>
      </c>
      <c r="D26" s="46" t="s">
        <v>331</v>
      </c>
    </row>
    <row r="27">
      <c r="A27" s="46" t="s">
        <v>332</v>
      </c>
      <c r="B27" s="46" t="s">
        <v>130</v>
      </c>
      <c r="C27" s="46" t="s">
        <v>284</v>
      </c>
      <c r="D27" s="46" t="s">
        <v>333</v>
      </c>
    </row>
    <row r="28">
      <c r="A28" s="46" t="s">
        <v>334</v>
      </c>
      <c r="B28" s="46" t="s">
        <v>334</v>
      </c>
      <c r="C28" s="46" t="s">
        <v>280</v>
      </c>
      <c r="D28" s="46" t="s">
        <v>335</v>
      </c>
    </row>
    <row r="29">
      <c r="A29" s="46" t="s">
        <v>336</v>
      </c>
      <c r="B29" s="46" t="s">
        <v>336</v>
      </c>
      <c r="C29" s="46" t="s">
        <v>284</v>
      </c>
      <c r="D29" s="46" t="s">
        <v>337</v>
      </c>
    </row>
    <row r="30">
      <c r="A30" s="46" t="s">
        <v>338</v>
      </c>
      <c r="B30" s="46" t="s">
        <v>338</v>
      </c>
      <c r="C30" s="46" t="s">
        <v>284</v>
      </c>
      <c r="D30" s="46" t="s">
        <v>339</v>
      </c>
    </row>
    <row r="31">
      <c r="A31" s="46" t="s">
        <v>35</v>
      </c>
      <c r="B31" s="46" t="s">
        <v>35</v>
      </c>
      <c r="C31" s="46" t="s">
        <v>284</v>
      </c>
      <c r="D31" s="46" t="s">
        <v>340</v>
      </c>
    </row>
    <row r="32">
      <c r="A32" s="46" t="s">
        <v>341</v>
      </c>
      <c r="B32" s="46" t="s">
        <v>341</v>
      </c>
      <c r="C32" s="46" t="s">
        <v>284</v>
      </c>
      <c r="D32" s="46" t="s">
        <v>342</v>
      </c>
    </row>
    <row r="33">
      <c r="A33" s="46" t="s">
        <v>214</v>
      </c>
      <c r="B33" s="46" t="s">
        <v>214</v>
      </c>
      <c r="C33" s="46" t="s">
        <v>284</v>
      </c>
      <c r="D33" s="46" t="s">
        <v>343</v>
      </c>
    </row>
    <row r="34">
      <c r="A34" s="46" t="s">
        <v>344</v>
      </c>
      <c r="B34" s="46" t="s">
        <v>344</v>
      </c>
      <c r="C34" s="46" t="s">
        <v>284</v>
      </c>
      <c r="D34" s="49" t="s">
        <v>345</v>
      </c>
      <c r="E34" s="46" t="s">
        <v>346</v>
      </c>
    </row>
    <row r="35">
      <c r="A35" s="46" t="s">
        <v>347</v>
      </c>
      <c r="B35" s="46" t="s">
        <v>347</v>
      </c>
      <c r="C35" s="46" t="s">
        <v>280</v>
      </c>
      <c r="D35" s="46" t="s">
        <v>348</v>
      </c>
    </row>
    <row r="36">
      <c r="A36" s="46" t="s">
        <v>349</v>
      </c>
      <c r="B36" s="46" t="s">
        <v>349</v>
      </c>
      <c r="C36" s="46" t="s">
        <v>284</v>
      </c>
      <c r="D36" s="46" t="s">
        <v>350</v>
      </c>
    </row>
    <row r="37">
      <c r="A37" s="46" t="s">
        <v>160</v>
      </c>
      <c r="B37" s="46" t="s">
        <v>160</v>
      </c>
      <c r="C37" s="46" t="s">
        <v>302</v>
      </c>
      <c r="D37" s="46" t="s">
        <v>351</v>
      </c>
      <c r="E37" s="46" t="s">
        <v>352</v>
      </c>
    </row>
  </sheetData>
  <dataValidations>
    <dataValidation type="list" allowBlank="1" showErrorMessage="1" sqref="C2:C37">
      <formula1>"Unassigned,ELL,HVL,Auto"</formula1>
    </dataValidation>
  </dataValidations>
  <drawing r:id="rId1"/>
</worksheet>
</file>