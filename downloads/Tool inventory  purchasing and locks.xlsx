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tool inventory" sheetId="1" r:id="rId5"/>
    <sheet state="visible" name="Mill room Tooling" sheetId="2" r:id="rId6"/>
    <sheet state="visible" name="Facility non recurring" sheetId="3" r:id="rId7"/>
    <sheet state="visible" name="Locks" sheetId="4" r:id="rId8"/>
  </sheets>
  <definedNames/>
  <calcPr/>
</workbook>
</file>

<file path=xl/sharedStrings.xml><?xml version="1.0" encoding="utf-8"?>
<sst xmlns="http://schemas.openxmlformats.org/spreadsheetml/2006/main" count="360" uniqueCount="305">
  <si>
    <t>Tool</t>
  </si>
  <si>
    <t>Drill, 20v cordless</t>
  </si>
  <si>
    <t>Impact Driver 20v cordless</t>
  </si>
  <si>
    <t>Circ saw cordless</t>
  </si>
  <si>
    <t>Router cordless</t>
  </si>
  <si>
    <t>drill bits</t>
  </si>
  <si>
    <t>Socket set metric</t>
  </si>
  <si>
    <t>https://www.lowes.com/pd/CRAFTSMAN-256pc-MECH-TOOL-SET/5014516117</t>
  </si>
  <si>
    <t>Socket Set imperial</t>
  </si>
  <si>
    <t>ratcheting socket wrench</t>
  </si>
  <si>
    <t>Allen wrenches metric</t>
  </si>
  <si>
    <t>Allen Wrenches imperial</t>
  </si>
  <si>
    <t xml:space="preserve">driver Bit set </t>
  </si>
  <si>
    <t>Vice grips</t>
  </si>
  <si>
    <t>Screw driver</t>
  </si>
  <si>
    <t>calipers</t>
  </si>
  <si>
    <t>flush cutters</t>
  </si>
  <si>
    <t>adjustable wrenches</t>
  </si>
  <si>
    <t>wrench set metric</t>
  </si>
  <si>
    <t>wrench set SAE</t>
  </si>
  <si>
    <t>punches</t>
  </si>
  <si>
    <t>pliers</t>
  </si>
  <si>
    <t>shears</t>
  </si>
  <si>
    <t>hack saw</t>
  </si>
  <si>
    <t>impact to 3/8" drive adapter</t>
  </si>
  <si>
    <t>measuring tape</t>
  </si>
  <si>
    <t>equipment</t>
  </si>
  <si>
    <t>Non msc link</t>
  </si>
  <si>
    <t>supplier link</t>
  </si>
  <si>
    <t xml:space="preserve">Priority </t>
  </si>
  <si>
    <t>P/n</t>
  </si>
  <si>
    <t xml:space="preserve">notes </t>
  </si>
  <si>
    <t>Price estimate</t>
  </si>
  <si>
    <t>units</t>
  </si>
  <si>
    <t>Ordered</t>
  </si>
  <si>
    <t>total</t>
  </si>
  <si>
    <t>Drill press</t>
  </si>
  <si>
    <t>https://www.mscdirect.com/product/details/10754414</t>
  </si>
  <si>
    <t>MSC # 10754414</t>
  </si>
  <si>
    <t>Floor standing drill press</t>
  </si>
  <si>
    <t>https://www.amazon.com/354170-JDP-20MF-20-Inch-Floor-Drill/dp/B00004T9L1?source=ps-sl-shoppingads-lpcontext&amp;ref_=fplfs&amp;psc=1&amp;smid=ATVPDKIKX0DER</t>
  </si>
  <si>
    <t>essential</t>
  </si>
  <si>
    <t>would like feedback on suggestion</t>
  </si>
  <si>
    <t>Cold saw</t>
  </si>
  <si>
    <t>https://www.amazon.com/dp/B000IHXOKI/?asc_source=01HFY6QA81RC2YM83KXD3350EZ&amp;tag=snx80-20</t>
  </si>
  <si>
    <t>Drill bit set, letter, number, and fractional</t>
  </si>
  <si>
    <t>https://www.mscdirect.com/product/details/07574981</t>
  </si>
  <si>
    <t>optional</t>
  </si>
  <si>
    <t>MSC # 07574981</t>
  </si>
  <si>
    <t>endmills</t>
  </si>
  <si>
    <t xml:space="preserve">consummable </t>
  </si>
  <si>
    <t>Calculators</t>
  </si>
  <si>
    <t>https://www.mscdirect.com/product/details/85509073</t>
  </si>
  <si>
    <t>recommended</t>
  </si>
  <si>
    <t>MSC # 85509073</t>
  </si>
  <si>
    <t>Drill press variable speed</t>
  </si>
  <si>
    <t>https://www.mscdirect.com/product/details/16426470</t>
  </si>
  <si>
    <t>MSC#16426470</t>
  </si>
  <si>
    <t>Belt sander</t>
  </si>
  <si>
    <t>https://www.mscdirect.com/product/details/09520552</t>
  </si>
  <si>
    <t>MSC # 09520552</t>
  </si>
  <si>
    <t>H/V Band saw</t>
  </si>
  <si>
    <t>https://www.mscdirect.com/product/details/54702774</t>
  </si>
  <si>
    <t>MSC # 54702774</t>
  </si>
  <si>
    <t>Power Drawbar</t>
  </si>
  <si>
    <t>https://www.kurtworkholding.com/product/kurt-bridgeport-series-i-std-2-j/</t>
  </si>
  <si>
    <t>does the machine come with one?</t>
  </si>
  <si>
    <t>CHECK THAT THE MACHINE IS A J HEAD BEFORE BUYING!</t>
  </si>
  <si>
    <t>Dial indicator</t>
  </si>
  <si>
    <t>https://www.mscdirect.com/product/details/67294488?cid=ppc-google-&amp;mkwid=%7Cdc&amp;pcrid=&amp;rd=k&amp;product_id=67294488&amp;gad_source=1&amp;gclid=CjwKCAjw88yxBhBWEiwA7cm6pbkf307aFiQgID9dUTHmWQjKBk3Cdksp69c5GZi5EbZrtsAnwEEEoRoCOVMQAvD_BwE&amp;gclsrc=aw.ds</t>
  </si>
  <si>
    <t>recommened</t>
  </si>
  <si>
    <t>MSC # 67294488</t>
  </si>
  <si>
    <t>Jacob's Chuck</t>
  </si>
  <si>
    <t>https://www.shars.com/1-2-keyless-drill-chuck-with-r8-integral-shank-13mm-1</t>
  </si>
  <si>
    <t>https://www.mscdirect.com/product/details/51233542</t>
  </si>
  <si>
    <t>MSC # 51233542</t>
  </si>
  <si>
    <t>The MSC keyless chucks are very expensive</t>
  </si>
  <si>
    <t>Parallels</t>
  </si>
  <si>
    <t>https://www.kurtworkholding.com/product/kurt-parallel-jaw-plate-set-6/</t>
  </si>
  <si>
    <t>https://www.mscdirect.com/product/details/06820690</t>
  </si>
  <si>
    <t>MSC # 06820690</t>
  </si>
  <si>
    <t>collets</t>
  </si>
  <si>
    <t>https://www.shars.com/1-8-7-8-by-16th-13-piece-precision-r8-collet-set-with-r8-collet-rack</t>
  </si>
  <si>
    <t>Test Indicator</t>
  </si>
  <si>
    <t>https://www.amazon.com/Indicator-Bridgeport-Locking-Anytime-Tools/dp/B08JLJ9215?source=ps-sl-shoppingads-lpcontext&amp;ref_=fplfs&amp;psc=1&amp;smid=A2FYHGC4NSM6WF#customerReviews</t>
  </si>
  <si>
    <t>Callipers</t>
  </si>
  <si>
    <t>MSC#96256409</t>
  </si>
  <si>
    <t>MSC # 96256409</t>
  </si>
  <si>
    <t>Drawbar Wrench</t>
  </si>
  <si>
    <t>https://www.mscdirect.com/product/details/09505561?rItem=09505561</t>
  </si>
  <si>
    <t>MSC # 09505561</t>
  </si>
  <si>
    <t>cutting oil</t>
  </si>
  <si>
    <t>MSC#74807769</t>
  </si>
  <si>
    <t>MSC # 74807769</t>
  </si>
  <si>
    <t>deadblow</t>
  </si>
  <si>
    <t>https://www.mscdirect.com/product/details/40973877</t>
  </si>
  <si>
    <t>MSC # 40973877</t>
  </si>
  <si>
    <t>Machinist dye</t>
  </si>
  <si>
    <t>MSC#00264044</t>
  </si>
  <si>
    <t>MSC # 00264044</t>
  </si>
  <si>
    <t>Deburring Tool</t>
  </si>
  <si>
    <t>MSC#05751003</t>
  </si>
  <si>
    <t>MSC # 05751003</t>
  </si>
  <si>
    <t>Tap Guide</t>
  </si>
  <si>
    <t>MSC#91709410</t>
  </si>
  <si>
    <t>MSC # 91709410</t>
  </si>
  <si>
    <t>Edgefinder</t>
  </si>
  <si>
    <t>https://www.amazon.com/Mitutoyo-050101-Edge-Finder-Shank/dp/B002SG7PPC/ref=sr_1_1?crid=2FVUXNCJZYQE2&amp;dib=eyJ2IjoiMSJ9.NTf9KgXIVtQzC4czpsZuPSvAOMHPykxTKYkcvCmG8JU1KVQ1LJewAvBrv1hraYEAU7K4_6a_Ji6wBqhvnoX6skbfJa14SDFRe6oL3cr30qltkOyiW_k2ePjhsAu8OavsdWntaWCaQ0gGg22cuDtjOwhj5uUCA9VVZ_QjOqdKz213TKisTd1naoEi2zlbeh7BbxIjh5JUhiSyBO039K9_FbzGmhOFW6ANSNBMsT6-Ra_3HbsrAHpCkJQYlU_y0Mla15O_ZKXUXnor1P_g1i2ZzH-RrJDJHWwm0VcXuIHveEs.EkripKKy-zuNsFxIA0rX6EF4eO4MDJyHOYlpitqfylI&amp;dib_tag=se&amp;keywords=mitutoyo+edgefinder&amp;qid=1709777010&amp;s=hi&amp;sprefix=mitutoyo+edgefinder%2Ctools%2C81&amp;sr=1-1</t>
  </si>
  <si>
    <t>https://www.mscdirect.com/product/details/03293420</t>
  </si>
  <si>
    <t>MSC # 03293420</t>
  </si>
  <si>
    <t>Transfer punch set</t>
  </si>
  <si>
    <t>MSC#00422543</t>
  </si>
  <si>
    <t>MSC # 00422543</t>
  </si>
  <si>
    <t>spillmaster</t>
  </si>
  <si>
    <t>MSC#09520057</t>
  </si>
  <si>
    <t>MSC # 09520057</t>
  </si>
  <si>
    <t>File</t>
  </si>
  <si>
    <t>https://www.amazon.com/Crescent-Nicholson-Mill-Single-Bastard/dp/B07YD6DB5W/ref=sr_1_5?crid=158KVB8NHJH27&amp;dib=eyJ2IjoiMSJ9.ym7LpOBP0xlP10hXxlLxrFjdU72rGm0LjPr9DWM2-pliIklli7v9dLkA7K4DEEc7_4qYHYLGOYMnxkJLEAsrUaeE0I9T2dJ-ktu-0HP4c2ULuogzUKTlcwwngU-AVGpwCg3nwqcFgkBXe-uKK1VZF3WcZ4VZN7Dn4ZUBd6IfuwtjsadFeZt6wO0Iry2Gqc7eXC7_wBTHSirnbezEX40oZEtCv1qBBbMeDYUPyML-rmWpZ_68hg9TX47MMeYgyVQAtsLWU00sdJLpJmFkwXn8ewBmcpV6CPKG6m7Br4PysNw.cUIs8Jq4rQ84jWBzvDtPt8V52XjVfRtBplW4XZ1D8aA&amp;dib_tag=se&amp;keywords=8%2Binch%2Bfile&amp;qid=1708025169&amp;sprefix=8%2Binch%2Bfile%2Caps%2C94&amp;sr=8-5&amp;th=1</t>
  </si>
  <si>
    <t>https://www.mscdirect.com/product/details/60304813</t>
  </si>
  <si>
    <t>MSC # 60304813</t>
  </si>
  <si>
    <t>Nicholson's are good.</t>
  </si>
  <si>
    <t>Chuck Wrench</t>
  </si>
  <si>
    <t>https://www.shars.com/nose-type-er32-collet-wrench</t>
  </si>
  <si>
    <t>vise x2</t>
  </si>
  <si>
    <t>https://www.kurtworkholding.com/product/kurt-dx6-crossover-vise/</t>
  </si>
  <si>
    <t xml:space="preserve">hold downs x2 </t>
  </si>
  <si>
    <t>https://www.amazon.com/Pro-T-Slot-Clamping-Bridgeport-Mill/dp/B01BH8MTCU</t>
  </si>
  <si>
    <t>https://www.mscdirect.com/product/details/04804571</t>
  </si>
  <si>
    <t>MSC # 04804571</t>
  </si>
  <si>
    <t>Vise Handle</t>
  </si>
  <si>
    <t>https://www.kurtworkholding.com/product/kurt-handle-assembly-2/</t>
  </si>
  <si>
    <t>Brush</t>
  </si>
  <si>
    <t>MSC#82071572</t>
  </si>
  <si>
    <t>MSC # 82071572</t>
  </si>
  <si>
    <t>Scribes</t>
  </si>
  <si>
    <t>MSC#84396183</t>
  </si>
  <si>
    <t>MSC # 84396183</t>
  </si>
  <si>
    <t xml:space="preserve">Total </t>
  </si>
  <si>
    <t xml:space="preserve">Omax Protomax </t>
  </si>
  <si>
    <t>Project team quality of life</t>
  </si>
  <si>
    <t>I found a couple options for lasercutters, which are more of an initial investment but will be way better for maintenance and reliability</t>
  </si>
  <si>
    <t>Chamfer tool</t>
  </si>
  <si>
    <t xml:space="preserve"> </t>
  </si>
  <si>
    <t xml:space="preserve">  </t>
  </si>
  <si>
    <t>Equipent/ service</t>
  </si>
  <si>
    <t>estimated total cost</t>
  </si>
  <si>
    <t>impact 1-3</t>
  </si>
  <si>
    <t>100 totes wbm</t>
  </si>
  <si>
    <t>Areas of impact</t>
  </si>
  <si>
    <t>18"</t>
  </si>
  <si>
    <t>24"</t>
  </si>
  <si>
    <t>36"</t>
  </si>
  <si>
    <t>48"</t>
  </si>
  <si>
    <t>60"</t>
  </si>
  <si>
    <t>72"</t>
  </si>
  <si>
    <t>Cord reels for composites</t>
  </si>
  <si>
    <t>festool vac</t>
  </si>
  <si>
    <t>Safety</t>
  </si>
  <si>
    <t>Operations</t>
  </si>
  <si>
    <t>uline legs</t>
  </si>
  <si>
    <t>Compressed air reels for composites</t>
  </si>
  <si>
    <t>festool saw</t>
  </si>
  <si>
    <r>
      <rPr/>
      <t xml:space="preserve">respirator </t>
    </r>
    <r>
      <rPr>
        <color rgb="FF1155CC"/>
        <u/>
      </rPr>
      <t>storage</t>
    </r>
  </si>
  <si>
    <t>totes</t>
  </si>
  <si>
    <t>global legs</t>
  </si>
  <si>
    <t>reel installation costs</t>
  </si>
  <si>
    <t>festool table</t>
  </si>
  <si>
    <t>flammables cabinets</t>
  </si>
  <si>
    <t>machines</t>
  </si>
  <si>
    <t xml:space="preserve">shop vacs </t>
  </si>
  <si>
    <t>pump</t>
  </si>
  <si>
    <t>fabman/ locks</t>
  </si>
  <si>
    <t>material storage</t>
  </si>
  <si>
    <t>uline shelf support</t>
  </si>
  <si>
    <t>cleaning station supplies brooms pans wheeled carts</t>
  </si>
  <si>
    <t>shop vacs</t>
  </si>
  <si>
    <t>lipo bags</t>
  </si>
  <si>
    <t>bench/ cabinet</t>
  </si>
  <si>
    <t>global shelf support</t>
  </si>
  <si>
    <t xml:space="preserve">FabMan for welders </t>
  </si>
  <si>
    <t>cleaning supplies</t>
  </si>
  <si>
    <t>draft table</t>
  </si>
  <si>
    <t xml:space="preserve">uline mid shelf </t>
  </si>
  <si>
    <t>Large vacuum pump for composites</t>
  </si>
  <si>
    <t xml:space="preserve">power strips? </t>
  </si>
  <si>
    <t>Global mid shelf</t>
  </si>
  <si>
    <t>Standardized storage containers for ELL</t>
  </si>
  <si>
    <t>x300</t>
  </si>
  <si>
    <t>flammables cabinet</t>
  </si>
  <si>
    <t>Large Flammables cabinets for composites</t>
  </si>
  <si>
    <t>24"x60"</t>
  </si>
  <si>
    <t>Small flammables cabinet for composites</t>
  </si>
  <si>
    <t xml:space="preserve">uline shelves </t>
  </si>
  <si>
    <t xml:space="preserve">Flammables shipping </t>
  </si>
  <si>
    <t>tool storage cabinets for machine room</t>
  </si>
  <si>
    <t>x1600</t>
  </si>
  <si>
    <t>Work bench for machine room</t>
  </si>
  <si>
    <t>x600</t>
  </si>
  <si>
    <t>Additional equipment for machine room</t>
  </si>
  <si>
    <t>x1800</t>
  </si>
  <si>
    <t>key cabinet</t>
  </si>
  <si>
    <t>x500</t>
  </si>
  <si>
    <t>Grizzly draft table</t>
  </si>
  <si>
    <t>x2750</t>
  </si>
  <si>
    <t>Bosch Miter saw</t>
  </si>
  <si>
    <t xml:space="preserve">Respirator cabinet </t>
  </si>
  <si>
    <t>Composites:</t>
  </si>
  <si>
    <t>Dust control CCC</t>
  </si>
  <si>
    <t>https://www.dualdraw.com/product/downdraft-table-with-vented-back-stop/</t>
  </si>
  <si>
    <t>https://www.filter-1.com/products/dust-control-booths/</t>
  </si>
  <si>
    <t>https://www.vacupress.com/vacupress-fliptop-table-press-frame-systems/</t>
  </si>
  <si>
    <t>https://us.dynabrade.com/en/catalog?area=Catalog&amp;filter=%7B%22ProductAttributes%22%3A%7B%22534%22%3A%5B17355%5D%7D%7D</t>
  </si>
  <si>
    <t>https://www.grizzly.com/products/grizzly-28-x-79-extra-long-downdraft-table/g0631</t>
  </si>
  <si>
    <t>Team</t>
  </si>
  <si>
    <t>Equipment</t>
  </si>
  <si>
    <t>Make</t>
  </si>
  <si>
    <t>Lock #</t>
  </si>
  <si>
    <t>Notes</t>
  </si>
  <si>
    <t>Key assigned to</t>
  </si>
  <si>
    <t>NetID</t>
  </si>
  <si>
    <t>date out</t>
  </si>
  <si>
    <t>returned</t>
  </si>
  <si>
    <t>*</t>
  </si>
  <si>
    <t>12466B</t>
  </si>
  <si>
    <t>12749B</t>
  </si>
  <si>
    <t>SPT</t>
  </si>
  <si>
    <t>track saw</t>
  </si>
  <si>
    <t>Festool</t>
  </si>
  <si>
    <t>15505B</t>
  </si>
  <si>
    <t>HV rm code 2005</t>
  </si>
  <si>
    <t>FSAE</t>
  </si>
  <si>
    <t>table saw -contractor</t>
  </si>
  <si>
    <t>Craftsman</t>
  </si>
  <si>
    <t>15509B</t>
  </si>
  <si>
    <t>needs rip fence or toss</t>
  </si>
  <si>
    <t>cutoof saw -carbide blade</t>
  </si>
  <si>
    <t>Milwaukee</t>
  </si>
  <si>
    <t>15716B</t>
  </si>
  <si>
    <t>Ryan Lee</t>
  </si>
  <si>
    <t>Rocketry</t>
  </si>
  <si>
    <t>table saw -mini</t>
  </si>
  <si>
    <t>Dewalt</t>
  </si>
  <si>
    <t>15723B</t>
  </si>
  <si>
    <t>Nagamitesh Nagamuralee</t>
  </si>
  <si>
    <t>nn293</t>
  </si>
  <si>
    <t>cutoff saw - diamond blade</t>
  </si>
  <si>
    <t>15793B</t>
  </si>
  <si>
    <t>Router</t>
  </si>
  <si>
    <t>15799B</t>
  </si>
  <si>
    <t>CU Air</t>
  </si>
  <si>
    <t>miter saw -mini</t>
  </si>
  <si>
    <t>Kobalt</t>
  </si>
  <si>
    <t>15800B</t>
  </si>
  <si>
    <t>Baja</t>
  </si>
  <si>
    <t>cutoff saw -abrasive blade</t>
  </si>
  <si>
    <t>15825B</t>
  </si>
  <si>
    <t>Ava Rosenow</t>
  </si>
  <si>
    <t>ahr74</t>
  </si>
  <si>
    <t>mini lathe</t>
  </si>
  <si>
    <t>Grizzly</t>
  </si>
  <si>
    <t>15830B</t>
  </si>
  <si>
    <t>circular saw</t>
  </si>
  <si>
    <t>Skilsaw</t>
  </si>
  <si>
    <t>15882B</t>
  </si>
  <si>
    <t>Mars Rover</t>
  </si>
  <si>
    <t>miter saw</t>
  </si>
  <si>
    <t>15532B</t>
  </si>
  <si>
    <t>Faiza Huda</t>
  </si>
  <si>
    <t>fh296</t>
  </si>
  <si>
    <t>Porter Cable</t>
  </si>
  <si>
    <t>15534B</t>
  </si>
  <si>
    <t>bench grinder</t>
  </si>
  <si>
    <t>Jet</t>
  </si>
  <si>
    <t>15575B</t>
  </si>
  <si>
    <t>needs new wheels</t>
  </si>
  <si>
    <t>Mini Lathe</t>
  </si>
  <si>
    <t>Central Machinery</t>
  </si>
  <si>
    <t>15579B</t>
  </si>
  <si>
    <t>pedestal grinder</t>
  </si>
  <si>
    <t>15615B</t>
  </si>
  <si>
    <t>needs tool rest</t>
  </si>
  <si>
    <t>15618B</t>
  </si>
  <si>
    <t> </t>
  </si>
  <si>
    <t>15630B</t>
  </si>
  <si>
    <t>15640B</t>
  </si>
  <si>
    <t>15651B</t>
  </si>
  <si>
    <t>15730B</t>
  </si>
  <si>
    <t>15731B</t>
  </si>
  <si>
    <t>15745B</t>
  </si>
  <si>
    <t>15756B</t>
  </si>
  <si>
    <t>16053B</t>
  </si>
  <si>
    <t>16087B</t>
  </si>
  <si>
    <t>16128B</t>
  </si>
  <si>
    <t>16172B</t>
  </si>
  <si>
    <t>16229B</t>
  </si>
  <si>
    <t>CMR</t>
  </si>
  <si>
    <t>Tang Wet Lab</t>
  </si>
  <si>
    <t>Fume hood</t>
  </si>
  <si>
    <t>403 Tang</t>
  </si>
  <si>
    <t>Avantika Vaish</t>
  </si>
  <si>
    <t>av434</t>
  </si>
  <si>
    <t>CRT</t>
  </si>
  <si>
    <t>404 Tang</t>
  </si>
  <si>
    <t>Ayanna Fulga</t>
  </si>
  <si>
    <t>asf225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</si>
</sst>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/yyyy"/>
  </numFmts>
  <fonts count="20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sz val="12.0"/>
      <color rgb="FF000000"/>
      <name val="Arial"/>
    </font>
    <font>
      <u/>
      <color rgb="FF0000FF"/>
      <name val="Arial"/>
    </font>
    <font>
      <sz val="12.0"/>
      <color theme="1"/>
      <name val="Arial"/>
    </font>
    <font>
      <u/>
      <color rgb="FF1155CC"/>
      <name val="Arial"/>
    </font>
    <font>
      <sz val="12.0"/>
      <color theme="1"/>
      <name val="Roboto"/>
    </font>
    <font>
      <u/>
      <sz val="12.0"/>
      <color rgb="FF0000FF"/>
      <name val="Roboto"/>
    </font>
    <font>
      <u/>
      <sz val="12.0"/>
      <color rgb="FF000000"/>
      <name val="Arial"/>
    </font>
    <font>
      <u/>
      <color rgb="FF0000FF"/>
      <name val="Arial"/>
    </font>
    <font>
      <b/>
      <color theme="1"/>
      <name val="Arial"/>
      <scheme val="minor"/>
    </font>
    <font>
      <color rgb="FF999999"/>
      <name val="Arial"/>
      <scheme val="minor"/>
    </font>
    <font>
      <color rgb="FFCCCCCC"/>
      <name val="Arial"/>
      <scheme val="minor"/>
    </font>
    <font>
      <u/>
      <color rgb="FF0000FF"/>
    </font>
    <font>
      <color rgb="FFB7B7B7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2" fontId="7" numFmtId="0" xfId="0" applyAlignment="1" applyFill="1" applyFont="1">
      <alignment readingOrder="0"/>
    </xf>
    <xf borderId="0" fillId="0" fontId="3" numFmtId="0" xfId="0" applyFont="1"/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wrapText="0"/>
    </xf>
    <xf borderId="0" fillId="2" fontId="9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wrapText="0"/>
    </xf>
    <xf borderId="0" fillId="2" fontId="12" numFmtId="0" xfId="0" applyAlignment="1" applyFont="1">
      <alignment readingOrder="0" shrinkToFit="0" wrapText="0"/>
    </xf>
    <xf borderId="0" fillId="2" fontId="7" numFmtId="0" xfId="0" applyAlignment="1" applyFont="1">
      <alignment readingOrder="0" shrinkToFit="0" wrapText="0"/>
    </xf>
    <xf borderId="0" fillId="2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0" fillId="0" fontId="15" numFmtId="0" xfId="0" applyFont="1"/>
    <xf borderId="0" fillId="0" fontId="15" numFmtId="0" xfId="0" applyAlignment="1" applyFont="1">
      <alignment shrinkToFit="0" wrapText="0"/>
    </xf>
    <xf borderId="0" fillId="0" fontId="15" numFmtId="0" xfId="0" applyAlignment="1" applyFont="1">
      <alignment horizontal="left" shrinkToFit="0" wrapText="0"/>
    </xf>
    <xf borderId="0" fillId="0" fontId="15" numFmtId="0" xfId="0" applyAlignment="1" applyFont="1">
      <alignment horizontal="left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0" fillId="0" fontId="16" numFmtId="164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horizontal="left" shrinkToFit="0" wrapText="0"/>
    </xf>
    <xf borderId="0" fillId="0" fontId="15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15" numFmtId="164" xfId="0" applyAlignment="1" applyFont="1" applyNumberFormat="1">
      <alignment horizontal="left"/>
    </xf>
    <xf borderId="0" fillId="0" fontId="19" numFmtId="0" xfId="0" applyAlignment="1" applyFont="1">
      <alignment readingOrder="0"/>
    </xf>
    <xf borderId="0" fillId="0" fontId="19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7" numFmtId="0" xfId="0" applyFont="1"/>
    <xf borderId="0" fillId="0" fontId="15" numFmtId="0" xfId="0" applyAlignment="1" applyFont="1">
      <alignment horizontal="right" readingOrder="0"/>
    </xf>
    <xf borderId="0" fillId="0" fontId="3" numFmtId="164" xfId="0" applyFont="1" applyNumberFormat="1"/>
    <xf borderId="0" fillId="0" fontId="3" numFmtId="164" xfId="0" applyAlignment="1" applyFont="1" applyNumberFormat="1">
      <alignment horizontal="left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wes.com/pd/CRAFTSMAN-256pc-MECH-TOOL-SET/501451611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scdirect.com/product/details/40973877" TargetMode="External"/><Relationship Id="rId22" Type="http://schemas.openxmlformats.org/officeDocument/2006/relationships/hyperlink" Target="https://www.mscdirect.com/product/details/05751003" TargetMode="External"/><Relationship Id="rId21" Type="http://schemas.openxmlformats.org/officeDocument/2006/relationships/hyperlink" Target="https://www.mscdirect.com/product/details/00264044" TargetMode="External"/><Relationship Id="rId24" Type="http://schemas.openxmlformats.org/officeDocument/2006/relationships/hyperlink" Target="https://www.amazon.com/Mitutoyo-050101-Edge-Finder-Shank/dp/B002SG7PPC/ref=sr_1_1?crid=2FVUXNCJZYQE2&amp;dib=eyJ2IjoiMSJ9.NTf9KgXIVtQzC4czpsZuPSvAOMHPykxTKYkcvCmG8JU1KVQ1LJewAvBrv1hraYEAU7K4_6a_Ji6wBqhvnoX6skbfJa14SDFRe6oL3cr30qltkOyiW_k2ePjhsAu8OavsdWntaWCaQ0gGg22cuDtjOwhj5uUCA9VVZ_QjOqdKz213TKisTd1naoEi2zlbeh7BbxIjh5JUhiSyBO039K9_FbzGmhOFW6ANSNBMsT6-Ra_3HbsrAHpCkJQYlU_y0Mla15O_ZKXUXnor1P_g1i2ZzH-RrJDJHWwm0VcXuIHveEs.EkripKKy-zuNsFxIA0rX6EF4eO4MDJyHOYlpitqfylI&amp;dib_tag=se&amp;keywords=mitutoyo+edgefinder&amp;qid=1709777010&amp;s=hi&amp;sprefix=mitutoyo+edgefinder%2Ctools%2C81&amp;sr=1-1" TargetMode="External"/><Relationship Id="rId23" Type="http://schemas.openxmlformats.org/officeDocument/2006/relationships/hyperlink" Target="https://www.mscdirect.com/product/details/91709410" TargetMode="External"/><Relationship Id="rId1" Type="http://schemas.openxmlformats.org/officeDocument/2006/relationships/hyperlink" Target="https://www.mscdirect.com/product/details/10754414" TargetMode="External"/><Relationship Id="rId2" Type="http://schemas.openxmlformats.org/officeDocument/2006/relationships/hyperlink" Target="https://www.amazon.com/354170-JDP-20MF-20-Inch-Floor-Drill/dp/B00004T9L1?source=ps-sl-shoppingads-lpcontext&amp;ref_=fplfs&amp;psc=1&amp;smid=ATVPDKIKX0DER" TargetMode="External"/><Relationship Id="rId3" Type="http://schemas.openxmlformats.org/officeDocument/2006/relationships/hyperlink" Target="https://www.amazon.com/dp/B000IHXOKI/?asc_source=01HFY6QA81RC2YM83KXD3350EZ&amp;tag=snx80-20" TargetMode="External"/><Relationship Id="rId4" Type="http://schemas.openxmlformats.org/officeDocument/2006/relationships/hyperlink" Target="https://www.mscdirect.com/product/details/07574981" TargetMode="External"/><Relationship Id="rId9" Type="http://schemas.openxmlformats.org/officeDocument/2006/relationships/hyperlink" Target="https://www.kurtworkholding.com/product/kurt-bridgeport-series-i-std-2-j/" TargetMode="External"/><Relationship Id="rId26" Type="http://schemas.openxmlformats.org/officeDocument/2006/relationships/hyperlink" Target="https://www.mscdirect.com/product/details/00422543" TargetMode="External"/><Relationship Id="rId25" Type="http://schemas.openxmlformats.org/officeDocument/2006/relationships/hyperlink" Target="https://www.mscdirect.com/product/details/03293420" TargetMode="External"/><Relationship Id="rId28" Type="http://schemas.openxmlformats.org/officeDocument/2006/relationships/hyperlink" Target="https://www.amazon.com/Crescent-Nicholson-Mill-Single-Bastard/dp/B07YD6DB5W/ref=sr_1_5?crid=158KVB8NHJH27&amp;dib=eyJ2IjoiMSJ9.ym7LpOBP0xlP10hXxlLxrFjdU72rGm0LjPr9DWM2-pliIklli7v9dLkA7K4DEEc7_4qYHYLGOYMnxkJLEAsrUaeE0I9T2dJ-ktu-0HP4c2ULuogzUKTlcwwngU-AVGpwCg3nwqcFgkBXe-uKK1VZF3WcZ4VZN7Dn4ZUBd6IfuwtjsadFeZt6wO0Iry2Gqc7eXC7_wBTHSirnbezEX40oZEtCv1qBBbMeDYUPyML-rmWpZ_68hg9TX47MMeYgyVQAtsLWU00sdJLpJmFkwXn8ewBmcpV6CPKG6m7Br4PysNw.cUIs8Jq4rQ84jWBzvDtPt8V52XjVfRtBplW4XZ1D8aA&amp;dib_tag=se&amp;keywords=8%2Binch%2Bfile&amp;qid=1708025169&amp;sprefix=8%2Binch%2Bfile%2Caps%2C94&amp;sr=8-5&amp;th=1" TargetMode="External"/><Relationship Id="rId27" Type="http://schemas.openxmlformats.org/officeDocument/2006/relationships/hyperlink" Target="https://www.mscdirect.com/product/details/09520057" TargetMode="External"/><Relationship Id="rId5" Type="http://schemas.openxmlformats.org/officeDocument/2006/relationships/hyperlink" Target="https://www.mscdirect.com/product/details/85509073" TargetMode="External"/><Relationship Id="rId6" Type="http://schemas.openxmlformats.org/officeDocument/2006/relationships/hyperlink" Target="https://www.mscdirect.com/product/details/16426470" TargetMode="External"/><Relationship Id="rId29" Type="http://schemas.openxmlformats.org/officeDocument/2006/relationships/hyperlink" Target="https://www.mscdirect.com/product/details/60304813" TargetMode="External"/><Relationship Id="rId7" Type="http://schemas.openxmlformats.org/officeDocument/2006/relationships/hyperlink" Target="https://www.mscdirect.com/product/details/09520552" TargetMode="External"/><Relationship Id="rId8" Type="http://schemas.openxmlformats.org/officeDocument/2006/relationships/hyperlink" Target="https://www.mscdirect.com/product/details/54702774" TargetMode="External"/><Relationship Id="rId31" Type="http://schemas.openxmlformats.org/officeDocument/2006/relationships/hyperlink" Target="https://www.kurtworkholding.com/product/kurt-dx6-crossover-vise/" TargetMode="External"/><Relationship Id="rId30" Type="http://schemas.openxmlformats.org/officeDocument/2006/relationships/hyperlink" Target="https://www.shars.com/nose-type-er32-collet-wrench" TargetMode="External"/><Relationship Id="rId11" Type="http://schemas.openxmlformats.org/officeDocument/2006/relationships/hyperlink" Target="https://www.shars.com/1-2-keyless-drill-chuck-with-r8-integral-shank-13mm-1" TargetMode="External"/><Relationship Id="rId33" Type="http://schemas.openxmlformats.org/officeDocument/2006/relationships/hyperlink" Target="https://www.mscdirect.com/product/details/04804571" TargetMode="External"/><Relationship Id="rId10" Type="http://schemas.openxmlformats.org/officeDocument/2006/relationships/hyperlink" Target="https://www.mscdirect.com/product/details/67294488?cid=ppc-google-&amp;mkwid=%7Cdc&amp;pcrid=&amp;rd=k&amp;product_id=67294488&amp;gad_source=1&amp;gclid=CjwKCAjw88yxBhBWEiwA7cm6pbkf307aFiQgID9dUTHmWQjKBk3Cdksp69c5GZi5EbZrtsAnwEEEoRoCOVMQAvD_BwE&amp;gclsrc=aw.ds" TargetMode="External"/><Relationship Id="rId32" Type="http://schemas.openxmlformats.org/officeDocument/2006/relationships/hyperlink" Target="https://www.amazon.com/Pro-T-Slot-Clamping-Bridgeport-Mill/dp/B01BH8MTCU" TargetMode="External"/><Relationship Id="rId13" Type="http://schemas.openxmlformats.org/officeDocument/2006/relationships/hyperlink" Target="https://www.kurtworkholding.com/product/kurt-parallel-jaw-plate-set-6/" TargetMode="External"/><Relationship Id="rId35" Type="http://schemas.openxmlformats.org/officeDocument/2006/relationships/hyperlink" Target="https://www.mscdirect.com/product/details/82071572" TargetMode="External"/><Relationship Id="rId12" Type="http://schemas.openxmlformats.org/officeDocument/2006/relationships/hyperlink" Target="https://www.mscdirect.com/product/details/51233542" TargetMode="External"/><Relationship Id="rId34" Type="http://schemas.openxmlformats.org/officeDocument/2006/relationships/hyperlink" Target="https://www.kurtworkholding.com/product/kurt-handle-assembly-2/" TargetMode="External"/><Relationship Id="rId15" Type="http://schemas.openxmlformats.org/officeDocument/2006/relationships/hyperlink" Target="https://www.shars.com/1-8-7-8-by-16th-13-piece-precision-r8-collet-set-with-r8-collet-rack" TargetMode="External"/><Relationship Id="rId37" Type="http://schemas.openxmlformats.org/officeDocument/2006/relationships/drawing" Target="../drawings/drawing2.xml"/><Relationship Id="rId14" Type="http://schemas.openxmlformats.org/officeDocument/2006/relationships/hyperlink" Target="https://www.mscdirect.com/product/details/06820690" TargetMode="External"/><Relationship Id="rId36" Type="http://schemas.openxmlformats.org/officeDocument/2006/relationships/hyperlink" Target="https://www.mscdirect.com/product/details/84396183" TargetMode="External"/><Relationship Id="rId17" Type="http://schemas.openxmlformats.org/officeDocument/2006/relationships/hyperlink" Target="https://www.mscdirect.com/product/details/96256409" TargetMode="External"/><Relationship Id="rId16" Type="http://schemas.openxmlformats.org/officeDocument/2006/relationships/hyperlink" Target="https://www.amazon.com/Indicator-Bridgeport-Locking-Anytime-Tools/dp/B08JLJ9215?source=ps-sl-shoppingads-lpcontext&amp;ref_=fplfs&amp;psc=1&amp;smid=A2FYHGC4NSM6WF" TargetMode="External"/><Relationship Id="rId19" Type="http://schemas.openxmlformats.org/officeDocument/2006/relationships/hyperlink" Target="https://www.mscdirect.com/product/details/74807769" TargetMode="External"/><Relationship Id="rId18" Type="http://schemas.openxmlformats.org/officeDocument/2006/relationships/hyperlink" Target="https://www.mscdirect.com/product/details/09505561?rItem=0950556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dicus-health.com/medical-supply-cabinet-bins-lockable.html" TargetMode="External"/><Relationship Id="rId2" Type="http://schemas.openxmlformats.org/officeDocument/2006/relationships/hyperlink" Target="https://www.dualdraw.com/product/downdraft-table-with-vented-back-stop/" TargetMode="External"/><Relationship Id="rId3" Type="http://schemas.openxmlformats.org/officeDocument/2006/relationships/hyperlink" Target="https://www.filter-1.com/products/dust-control-booths/" TargetMode="External"/><Relationship Id="rId4" Type="http://schemas.openxmlformats.org/officeDocument/2006/relationships/hyperlink" Target="https://www.vacupress.com/vacupress-fliptop-table-press-frame-systems/" TargetMode="External"/><Relationship Id="rId5" Type="http://schemas.openxmlformats.org/officeDocument/2006/relationships/hyperlink" Target="https://us.dynabrade.com/en/catalog?area=Catalog&amp;filter=%7B%22ProductAttributes%22%3A%7B%22534%22%3A%5B17355%5D%7D%7D" TargetMode="External"/><Relationship Id="rId6" Type="http://schemas.openxmlformats.org/officeDocument/2006/relationships/hyperlink" Target="https://www.grizzly.com/products/grizzly-28-x-79-extra-long-downdraft-table/g0631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6.88"/>
    <col customWidth="1" min="3" max="4" width="16.63"/>
    <col customWidth="1" min="6" max="6" width="28.13"/>
  </cols>
  <sheetData>
    <row r="1">
      <c r="A1" s="1" t="s">
        <v>0</v>
      </c>
      <c r="B1" s="1"/>
      <c r="C1" s="2"/>
      <c r="D1" s="2"/>
      <c r="E1" s="1"/>
      <c r="F1" s="3"/>
      <c r="G1" s="1"/>
      <c r="H1" s="1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7">
      <c r="A7" s="6" t="s">
        <v>6</v>
      </c>
      <c r="D7" s="7" t="s">
        <v>7</v>
      </c>
    </row>
    <row r="8">
      <c r="A8" s="6" t="s">
        <v>8</v>
      </c>
    </row>
    <row r="9">
      <c r="A9" s="6" t="s">
        <v>9</v>
      </c>
    </row>
    <row r="10">
      <c r="A10" s="6" t="s">
        <v>10</v>
      </c>
    </row>
    <row r="11">
      <c r="A11" s="6" t="s">
        <v>11</v>
      </c>
    </row>
    <row r="12">
      <c r="A12" s="6" t="s">
        <v>12</v>
      </c>
    </row>
    <row r="13">
      <c r="A13" s="6" t="s">
        <v>13</v>
      </c>
    </row>
    <row r="14">
      <c r="A14" s="6" t="s">
        <v>14</v>
      </c>
    </row>
    <row r="15">
      <c r="A15" s="6" t="s">
        <v>15</v>
      </c>
    </row>
    <row r="16">
      <c r="A16" s="6" t="s">
        <v>16</v>
      </c>
    </row>
    <row r="17">
      <c r="A17" s="6" t="s">
        <v>17</v>
      </c>
    </row>
    <row r="18">
      <c r="A18" s="6" t="s">
        <v>18</v>
      </c>
    </row>
    <row r="19">
      <c r="A19" s="6" t="s">
        <v>19</v>
      </c>
    </row>
    <row r="20">
      <c r="A20" s="6" t="s">
        <v>20</v>
      </c>
    </row>
    <row r="21">
      <c r="A21" s="6" t="s">
        <v>21</v>
      </c>
    </row>
    <row r="22">
      <c r="A22" s="6" t="s">
        <v>22</v>
      </c>
    </row>
    <row r="23">
      <c r="A23" s="6" t="s">
        <v>23</v>
      </c>
    </row>
    <row r="24">
      <c r="A24" s="6" t="s">
        <v>24</v>
      </c>
    </row>
    <row r="25">
      <c r="A25" s="6" t="s">
        <v>25</v>
      </c>
    </row>
  </sheetData>
  <mergeCells count="1">
    <mergeCell ref="D7:D12"/>
  </mergeCells>
  <hyperlinks>
    <hyperlink r:id="rId1" ref="D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0"/>
    <col customWidth="1" min="2" max="2" width="16.75"/>
    <col customWidth="1" min="3" max="3" width="17.38"/>
    <col customWidth="1" min="4" max="4" width="11.38"/>
    <col customWidth="1" min="5" max="5" width="18.5"/>
    <col customWidth="1" min="6" max="6" width="27.75"/>
    <col customWidth="1" min="7" max="7" width="12.25"/>
    <col customWidth="1" min="8" max="8" width="6.63"/>
    <col customWidth="1" min="9" max="9" width="55.0"/>
    <col customWidth="1" min="12" max="12" width="21.75"/>
  </cols>
  <sheetData>
    <row r="1">
      <c r="A1" s="8" t="s">
        <v>26</v>
      </c>
      <c r="B1" s="9" t="s">
        <v>27</v>
      </c>
      <c r="C1" s="10" t="s">
        <v>28</v>
      </c>
      <c r="D1" s="8" t="s">
        <v>29</v>
      </c>
      <c r="E1" s="11" t="s">
        <v>30</v>
      </c>
      <c r="F1" s="8" t="s">
        <v>31</v>
      </c>
      <c r="G1" s="11" t="s">
        <v>32</v>
      </c>
      <c r="H1" s="11" t="s">
        <v>33</v>
      </c>
      <c r="I1" s="6" t="s">
        <v>34</v>
      </c>
      <c r="J1" s="6" t="s">
        <v>35</v>
      </c>
    </row>
    <row r="2">
      <c r="A2" s="6" t="s">
        <v>36</v>
      </c>
      <c r="B2" s="12"/>
      <c r="C2" s="13" t="s">
        <v>37</v>
      </c>
      <c r="E2" s="14" t="s">
        <v>38</v>
      </c>
      <c r="G2" s="6">
        <v>1800.0</v>
      </c>
      <c r="H2" s="6">
        <v>0.0</v>
      </c>
      <c r="J2" s="15">
        <f t="shared" ref="J2:J33" si="1">G2*H2</f>
        <v>0</v>
      </c>
    </row>
    <row r="3">
      <c r="A3" s="6" t="s">
        <v>39</v>
      </c>
      <c r="B3" s="13" t="s">
        <v>40</v>
      </c>
      <c r="D3" s="6" t="s">
        <v>41</v>
      </c>
      <c r="E3" s="6"/>
      <c r="F3" s="6" t="s">
        <v>42</v>
      </c>
      <c r="G3" s="6">
        <v>1500.0</v>
      </c>
      <c r="H3" s="6">
        <v>0.0</v>
      </c>
      <c r="J3" s="15">
        <f t="shared" si="1"/>
        <v>0</v>
      </c>
    </row>
    <row r="4">
      <c r="A4" s="6" t="s">
        <v>43</v>
      </c>
      <c r="B4" s="13" t="s">
        <v>44</v>
      </c>
      <c r="E4" s="6"/>
      <c r="F4" s="6" t="s">
        <v>42</v>
      </c>
      <c r="G4" s="6">
        <v>499.0</v>
      </c>
      <c r="H4" s="6">
        <v>0.0</v>
      </c>
      <c r="J4" s="15">
        <f t="shared" si="1"/>
        <v>0</v>
      </c>
    </row>
    <row r="5">
      <c r="A5" s="11" t="s">
        <v>45</v>
      </c>
      <c r="C5" s="16" t="s">
        <v>46</v>
      </c>
      <c r="D5" s="8" t="s">
        <v>47</v>
      </c>
      <c r="E5" s="6" t="s">
        <v>48</v>
      </c>
      <c r="G5" s="17"/>
      <c r="H5" s="11">
        <v>0.0</v>
      </c>
      <c r="J5" s="15">
        <f t="shared" si="1"/>
        <v>0</v>
      </c>
    </row>
    <row r="6">
      <c r="A6" s="8" t="s">
        <v>49</v>
      </c>
      <c r="B6" s="18"/>
      <c r="C6" s="18"/>
      <c r="D6" s="8" t="s">
        <v>47</v>
      </c>
      <c r="E6" s="8"/>
      <c r="F6" s="8" t="s">
        <v>50</v>
      </c>
      <c r="G6" s="17"/>
      <c r="H6" s="11">
        <v>0.0</v>
      </c>
      <c r="J6" s="15">
        <f t="shared" si="1"/>
        <v>0</v>
      </c>
    </row>
    <row r="7">
      <c r="A7" s="6" t="s">
        <v>51</v>
      </c>
      <c r="B7" s="19"/>
      <c r="C7" s="13" t="s">
        <v>52</v>
      </c>
      <c r="D7" s="6" t="s">
        <v>53</v>
      </c>
      <c r="E7" s="6" t="s">
        <v>54</v>
      </c>
      <c r="H7" s="6">
        <v>0.0</v>
      </c>
      <c r="J7" s="15">
        <f t="shared" si="1"/>
        <v>0</v>
      </c>
    </row>
    <row r="8">
      <c r="A8" s="6" t="s">
        <v>55</v>
      </c>
      <c r="B8" s="12"/>
      <c r="C8" s="13" t="s">
        <v>56</v>
      </c>
      <c r="E8" s="20" t="s">
        <v>57</v>
      </c>
      <c r="G8" s="6">
        <v>3250.0</v>
      </c>
      <c r="H8" s="6">
        <v>1.0</v>
      </c>
      <c r="I8" s="6">
        <v>1.0</v>
      </c>
      <c r="J8" s="15">
        <f t="shared" si="1"/>
        <v>3250</v>
      </c>
    </row>
    <row r="9">
      <c r="A9" s="6" t="s">
        <v>58</v>
      </c>
      <c r="B9" s="12"/>
      <c r="C9" s="13" t="s">
        <v>59</v>
      </c>
      <c r="E9" s="14" t="s">
        <v>60</v>
      </c>
      <c r="G9" s="6">
        <v>2500.0</v>
      </c>
      <c r="H9" s="6">
        <v>1.0</v>
      </c>
      <c r="I9" s="6">
        <v>1.0</v>
      </c>
      <c r="J9" s="15">
        <f t="shared" si="1"/>
        <v>2500</v>
      </c>
    </row>
    <row r="10">
      <c r="A10" s="6" t="s">
        <v>61</v>
      </c>
      <c r="B10" s="12"/>
      <c r="C10" s="13" t="s">
        <v>62</v>
      </c>
      <c r="E10" s="14" t="s">
        <v>63</v>
      </c>
      <c r="G10" s="6">
        <v>2000.0</v>
      </c>
      <c r="H10" s="6">
        <v>1.0</v>
      </c>
      <c r="J10" s="15">
        <f t="shared" si="1"/>
        <v>2000</v>
      </c>
    </row>
    <row r="11">
      <c r="A11" s="17" t="s">
        <v>64</v>
      </c>
      <c r="B11" s="21" t="s">
        <v>65</v>
      </c>
      <c r="D11" s="17" t="s">
        <v>53</v>
      </c>
      <c r="E11" s="22"/>
      <c r="F11" s="22" t="s">
        <v>66</v>
      </c>
      <c r="G11" s="11">
        <v>1052.0</v>
      </c>
      <c r="H11" s="6">
        <v>1.0</v>
      </c>
      <c r="J11" s="15">
        <f t="shared" si="1"/>
        <v>1052</v>
      </c>
      <c r="K11" s="22" t="s">
        <v>67</v>
      </c>
    </row>
    <row r="12">
      <c r="A12" s="6" t="s">
        <v>68</v>
      </c>
      <c r="B12" s="12"/>
      <c r="C12" s="13" t="s">
        <v>69</v>
      </c>
      <c r="D12" s="6" t="s">
        <v>70</v>
      </c>
      <c r="E12" s="14" t="s">
        <v>71</v>
      </c>
      <c r="G12" s="6">
        <v>235.0</v>
      </c>
      <c r="H12" s="6">
        <v>1.0</v>
      </c>
      <c r="I12" s="6">
        <v>1.0</v>
      </c>
      <c r="J12" s="15">
        <f t="shared" si="1"/>
        <v>235</v>
      </c>
    </row>
    <row r="13">
      <c r="A13" s="17" t="s">
        <v>72</v>
      </c>
      <c r="B13" s="21" t="s">
        <v>73</v>
      </c>
      <c r="C13" s="13" t="s">
        <v>74</v>
      </c>
      <c r="D13" s="17" t="s">
        <v>41</v>
      </c>
      <c r="E13" s="6" t="s">
        <v>75</v>
      </c>
      <c r="F13" s="11" t="s">
        <v>76</v>
      </c>
      <c r="G13" s="11">
        <v>188.0</v>
      </c>
      <c r="H13" s="11">
        <v>1.0</v>
      </c>
      <c r="I13" s="6">
        <v>1.0</v>
      </c>
      <c r="J13" s="15">
        <f t="shared" si="1"/>
        <v>188</v>
      </c>
    </row>
    <row r="14">
      <c r="A14" s="17" t="s">
        <v>77</v>
      </c>
      <c r="B14" s="21" t="s">
        <v>78</v>
      </c>
      <c r="C14" s="13" t="s">
        <v>79</v>
      </c>
      <c r="D14" s="17" t="s">
        <v>41</v>
      </c>
      <c r="E14" s="11" t="s">
        <v>80</v>
      </c>
      <c r="F14" s="17"/>
      <c r="G14" s="11">
        <v>167.0</v>
      </c>
      <c r="H14" s="11">
        <v>1.0</v>
      </c>
      <c r="I14" s="6">
        <v>1.0</v>
      </c>
      <c r="J14" s="15">
        <f t="shared" si="1"/>
        <v>167</v>
      </c>
    </row>
    <row r="15">
      <c r="A15" s="8" t="s">
        <v>81</v>
      </c>
      <c r="B15" s="21" t="s">
        <v>82</v>
      </c>
      <c r="D15" s="8" t="s">
        <v>41</v>
      </c>
      <c r="E15" s="17"/>
      <c r="F15" s="17"/>
      <c r="G15" s="11">
        <v>90.0</v>
      </c>
      <c r="H15" s="11">
        <v>1.0</v>
      </c>
      <c r="J15" s="15">
        <f t="shared" si="1"/>
        <v>90</v>
      </c>
    </row>
    <row r="16">
      <c r="A16" s="17" t="s">
        <v>83</v>
      </c>
      <c r="B16" s="21" t="s">
        <v>84</v>
      </c>
      <c r="D16" s="17" t="s">
        <v>53</v>
      </c>
      <c r="E16" s="17"/>
      <c r="F16" s="17"/>
      <c r="G16" s="11">
        <v>77.0</v>
      </c>
      <c r="H16" s="11">
        <v>1.0</v>
      </c>
      <c r="J16" s="15">
        <f t="shared" si="1"/>
        <v>77</v>
      </c>
    </row>
    <row r="17">
      <c r="A17" s="6" t="s">
        <v>85</v>
      </c>
      <c r="B17" s="23"/>
      <c r="C17" s="24" t="s">
        <v>86</v>
      </c>
      <c r="D17" s="6" t="s">
        <v>53</v>
      </c>
      <c r="E17" s="6" t="s">
        <v>87</v>
      </c>
      <c r="G17" s="6">
        <v>50.0</v>
      </c>
      <c r="H17" s="6">
        <v>1.0</v>
      </c>
      <c r="I17" s="6">
        <v>1.0</v>
      </c>
      <c r="J17" s="15">
        <f t="shared" si="1"/>
        <v>50</v>
      </c>
    </row>
    <row r="18">
      <c r="A18" s="22" t="s">
        <v>88</v>
      </c>
      <c r="B18" s="25"/>
      <c r="C18" s="26" t="s">
        <v>89</v>
      </c>
      <c r="D18" s="17" t="s">
        <v>41</v>
      </c>
      <c r="E18" s="14" t="s">
        <v>90</v>
      </c>
      <c r="G18" s="11">
        <v>35.0</v>
      </c>
      <c r="H18" s="11">
        <v>1.0</v>
      </c>
      <c r="I18" s="6">
        <v>1.0</v>
      </c>
      <c r="J18" s="15">
        <f t="shared" si="1"/>
        <v>35</v>
      </c>
    </row>
    <row r="19">
      <c r="A19" s="6" t="s">
        <v>91</v>
      </c>
      <c r="B19" s="23"/>
      <c r="C19" s="24" t="s">
        <v>92</v>
      </c>
      <c r="E19" s="6" t="s">
        <v>93</v>
      </c>
      <c r="G19" s="6">
        <v>35.0</v>
      </c>
      <c r="H19" s="6">
        <v>1.0</v>
      </c>
      <c r="I19" s="6">
        <v>1.0</v>
      </c>
      <c r="J19" s="15">
        <f t="shared" si="1"/>
        <v>35</v>
      </c>
    </row>
    <row r="20">
      <c r="A20" s="8" t="s">
        <v>94</v>
      </c>
      <c r="B20" s="9"/>
      <c r="C20" s="27" t="s">
        <v>95</v>
      </c>
      <c r="D20" s="8" t="s">
        <v>41</v>
      </c>
      <c r="E20" s="14" t="s">
        <v>96</v>
      </c>
      <c r="G20" s="11">
        <v>20.0</v>
      </c>
      <c r="H20" s="11">
        <v>1.0</v>
      </c>
      <c r="I20" s="6">
        <v>1.0</v>
      </c>
      <c r="J20" s="15">
        <f t="shared" si="1"/>
        <v>20</v>
      </c>
    </row>
    <row r="21">
      <c r="A21" s="6" t="s">
        <v>97</v>
      </c>
      <c r="B21" s="23"/>
      <c r="C21" s="24" t="s">
        <v>98</v>
      </c>
      <c r="D21" s="6" t="s">
        <v>53</v>
      </c>
      <c r="E21" s="6" t="s">
        <v>99</v>
      </c>
      <c r="G21" s="6">
        <v>20.0</v>
      </c>
      <c r="H21" s="6">
        <v>1.0</v>
      </c>
      <c r="I21" s="6">
        <v>1.0</v>
      </c>
      <c r="J21" s="15">
        <f t="shared" si="1"/>
        <v>20</v>
      </c>
    </row>
    <row r="22" ht="15.0" customHeight="1">
      <c r="A22" s="17" t="s">
        <v>100</v>
      </c>
      <c r="B22" s="23"/>
      <c r="C22" s="24" t="s">
        <v>101</v>
      </c>
      <c r="D22" s="17" t="s">
        <v>47</v>
      </c>
      <c r="E22" s="6" t="s">
        <v>102</v>
      </c>
      <c r="G22" s="11">
        <v>17.0</v>
      </c>
      <c r="H22" s="11">
        <v>2.0</v>
      </c>
      <c r="I22" s="6">
        <v>2.0</v>
      </c>
      <c r="J22" s="15">
        <f t="shared" si="1"/>
        <v>34</v>
      </c>
    </row>
    <row r="23">
      <c r="A23" s="17" t="s">
        <v>103</v>
      </c>
      <c r="B23" s="23"/>
      <c r="C23" s="24" t="s">
        <v>104</v>
      </c>
      <c r="D23" s="17" t="s">
        <v>47</v>
      </c>
      <c r="E23" s="11" t="s">
        <v>105</v>
      </c>
      <c r="F23" s="17"/>
      <c r="G23" s="11">
        <v>16.0</v>
      </c>
      <c r="H23" s="11">
        <v>1.0</v>
      </c>
      <c r="I23" s="6">
        <v>1.0</v>
      </c>
      <c r="J23" s="15">
        <f t="shared" si="1"/>
        <v>16</v>
      </c>
    </row>
    <row r="24">
      <c r="A24" s="17" t="s">
        <v>106</v>
      </c>
      <c r="B24" s="21" t="s">
        <v>107</v>
      </c>
      <c r="C24" s="7" t="s">
        <v>108</v>
      </c>
      <c r="D24" s="17" t="s">
        <v>53</v>
      </c>
      <c r="E24" s="6" t="s">
        <v>109</v>
      </c>
      <c r="F24" s="17"/>
      <c r="G24" s="11">
        <v>16.0</v>
      </c>
      <c r="H24" s="11">
        <v>1.0</v>
      </c>
      <c r="I24" s="6">
        <v>1.0</v>
      </c>
      <c r="J24" s="15">
        <f t="shared" si="1"/>
        <v>16</v>
      </c>
    </row>
    <row r="25">
      <c r="A25" s="6" t="s">
        <v>110</v>
      </c>
      <c r="B25" s="23"/>
      <c r="C25" s="24" t="s">
        <v>111</v>
      </c>
      <c r="D25" s="6" t="s">
        <v>53</v>
      </c>
      <c r="E25" s="6" t="s">
        <v>112</v>
      </c>
      <c r="G25" s="6">
        <v>15.0</v>
      </c>
      <c r="H25" s="6">
        <v>1.0</v>
      </c>
      <c r="I25" s="6">
        <v>1.0</v>
      </c>
      <c r="J25" s="15">
        <f t="shared" si="1"/>
        <v>15</v>
      </c>
    </row>
    <row r="26">
      <c r="A26" s="6" t="s">
        <v>113</v>
      </c>
      <c r="B26" s="23"/>
      <c r="C26" s="24" t="s">
        <v>114</v>
      </c>
      <c r="E26" s="6" t="s">
        <v>115</v>
      </c>
      <c r="G26" s="6">
        <v>14.0</v>
      </c>
      <c r="H26" s="6">
        <v>1.0</v>
      </c>
      <c r="I26" s="6">
        <v>1.0</v>
      </c>
      <c r="J26" s="15">
        <f t="shared" si="1"/>
        <v>14</v>
      </c>
    </row>
    <row r="27">
      <c r="A27" s="17" t="s">
        <v>116</v>
      </c>
      <c r="B27" s="21" t="s">
        <v>117</v>
      </c>
      <c r="C27" s="7" t="s">
        <v>118</v>
      </c>
      <c r="D27" s="17" t="s">
        <v>53</v>
      </c>
      <c r="E27" s="6" t="s">
        <v>119</v>
      </c>
      <c r="F27" s="22" t="s">
        <v>120</v>
      </c>
      <c r="G27" s="11">
        <v>12.0</v>
      </c>
      <c r="H27" s="11">
        <v>1.0</v>
      </c>
      <c r="I27" s="6">
        <v>1.0</v>
      </c>
      <c r="J27" s="15">
        <f t="shared" si="1"/>
        <v>12</v>
      </c>
    </row>
    <row r="28">
      <c r="A28" s="17" t="s">
        <v>121</v>
      </c>
      <c r="B28" s="21" t="s">
        <v>122</v>
      </c>
      <c r="C28" s="19"/>
      <c r="D28" s="17" t="s">
        <v>41</v>
      </c>
      <c r="E28" s="17"/>
      <c r="F28" s="17"/>
      <c r="G28" s="11">
        <v>10.0</v>
      </c>
      <c r="H28" s="11">
        <v>1.0</v>
      </c>
      <c r="J28" s="15">
        <f t="shared" si="1"/>
        <v>10</v>
      </c>
    </row>
    <row r="29">
      <c r="A29" s="11" t="s">
        <v>123</v>
      </c>
      <c r="B29" s="21"/>
      <c r="C29" s="21" t="s">
        <v>124</v>
      </c>
      <c r="D29" s="8" t="s">
        <v>41</v>
      </c>
      <c r="E29" s="17"/>
      <c r="F29" s="17"/>
      <c r="G29" s="11">
        <v>700.0</v>
      </c>
      <c r="H29" s="11">
        <v>2.0</v>
      </c>
      <c r="I29" s="6">
        <v>2.0</v>
      </c>
      <c r="J29" s="15">
        <f t="shared" si="1"/>
        <v>1400</v>
      </c>
    </row>
    <row r="30">
      <c r="A30" s="11" t="s">
        <v>125</v>
      </c>
      <c r="B30" s="21" t="s">
        <v>126</v>
      </c>
      <c r="C30" s="13" t="s">
        <v>127</v>
      </c>
      <c r="D30" s="11" t="s">
        <v>41</v>
      </c>
      <c r="E30" s="6" t="s">
        <v>128</v>
      </c>
      <c r="G30" s="11">
        <v>70.0</v>
      </c>
      <c r="H30" s="11">
        <v>2.0</v>
      </c>
      <c r="I30" s="6">
        <v>1.0</v>
      </c>
      <c r="J30" s="15">
        <f t="shared" si="1"/>
        <v>140</v>
      </c>
    </row>
    <row r="31">
      <c r="A31" s="17" t="s">
        <v>129</v>
      </c>
      <c r="B31" s="21" t="s">
        <v>130</v>
      </c>
      <c r="C31" s="19"/>
      <c r="D31" s="17" t="s">
        <v>53</v>
      </c>
      <c r="E31" s="17"/>
      <c r="F31" s="17"/>
      <c r="G31" s="11">
        <v>43.0</v>
      </c>
      <c r="H31" s="11">
        <v>2.0</v>
      </c>
      <c r="I31" s="6">
        <v>2.0</v>
      </c>
      <c r="J31" s="15">
        <f t="shared" si="1"/>
        <v>86</v>
      </c>
    </row>
    <row r="32">
      <c r="A32" s="17" t="s">
        <v>131</v>
      </c>
      <c r="B32" s="23"/>
      <c r="C32" s="24" t="s">
        <v>132</v>
      </c>
      <c r="D32" s="17" t="s">
        <v>53</v>
      </c>
      <c r="E32" s="11" t="s">
        <v>133</v>
      </c>
      <c r="F32" s="17"/>
      <c r="G32" s="11">
        <v>5.0</v>
      </c>
      <c r="H32" s="11">
        <v>2.0</v>
      </c>
      <c r="I32" s="6">
        <v>2.0</v>
      </c>
      <c r="J32" s="15">
        <f t="shared" si="1"/>
        <v>10</v>
      </c>
    </row>
    <row r="33">
      <c r="A33" s="6" t="s">
        <v>134</v>
      </c>
      <c r="B33" s="23"/>
      <c r="C33" s="24" t="s">
        <v>135</v>
      </c>
      <c r="D33" s="6" t="s">
        <v>53</v>
      </c>
      <c r="E33" s="6" t="s">
        <v>136</v>
      </c>
      <c r="G33" s="6">
        <v>4.0</v>
      </c>
      <c r="H33" s="6">
        <v>2.0</v>
      </c>
      <c r="I33" s="6">
        <v>2.0</v>
      </c>
      <c r="J33" s="15">
        <f t="shared" si="1"/>
        <v>8</v>
      </c>
    </row>
    <row r="34">
      <c r="B34" s="19"/>
      <c r="C34" s="19"/>
      <c r="H34" s="6" t="s">
        <v>137</v>
      </c>
      <c r="J34" s="15" t="str">
        <f>SUM(#REF!)</f>
        <v>#REF!</v>
      </c>
    </row>
    <row r="35">
      <c r="A35" s="6" t="s">
        <v>138</v>
      </c>
      <c r="B35" s="19"/>
      <c r="C35" s="19"/>
      <c r="D35" s="6" t="s">
        <v>139</v>
      </c>
      <c r="F35" s="6" t="s">
        <v>140</v>
      </c>
      <c r="J35" s="15">
        <f t="shared" ref="J35:J40" si="2">G35*H35</f>
        <v>0</v>
      </c>
    </row>
    <row r="36">
      <c r="A36" s="6" t="s">
        <v>141</v>
      </c>
      <c r="B36" s="19"/>
      <c r="C36" s="19"/>
      <c r="J36" s="15">
        <f t="shared" si="2"/>
        <v>0</v>
      </c>
    </row>
    <row r="37">
      <c r="A37" s="6" t="s">
        <v>142</v>
      </c>
      <c r="B37" s="19"/>
      <c r="C37" s="19"/>
      <c r="J37" s="15">
        <f t="shared" si="2"/>
        <v>0</v>
      </c>
    </row>
    <row r="38">
      <c r="B38" s="19"/>
      <c r="C38" s="19"/>
      <c r="J38" s="15">
        <f t="shared" si="2"/>
        <v>0</v>
      </c>
    </row>
    <row r="39">
      <c r="B39" s="19"/>
      <c r="C39" s="19"/>
      <c r="J39" s="15">
        <f t="shared" si="2"/>
        <v>0</v>
      </c>
    </row>
    <row r="40">
      <c r="B40" s="19"/>
      <c r="C40" s="19"/>
      <c r="J40" s="15">
        <f t="shared" si="2"/>
        <v>0</v>
      </c>
    </row>
    <row r="41">
      <c r="B41" s="19"/>
      <c r="C41" s="19"/>
    </row>
    <row r="42">
      <c r="B42" s="19"/>
      <c r="C42" s="19"/>
    </row>
    <row r="43">
      <c r="B43" s="19"/>
      <c r="C43" s="19"/>
    </row>
    <row r="44">
      <c r="B44" s="19"/>
      <c r="C44" s="19"/>
    </row>
    <row r="45">
      <c r="B45" s="19"/>
      <c r="C45" s="19"/>
    </row>
    <row r="46">
      <c r="B46" s="19"/>
      <c r="C46" s="19"/>
    </row>
    <row r="47">
      <c r="B47" s="19"/>
      <c r="C47" s="19"/>
    </row>
    <row r="48">
      <c r="B48" s="19"/>
      <c r="C48" s="19"/>
    </row>
    <row r="49">
      <c r="B49" s="19"/>
      <c r="C49" s="12">
        <v>15.0</v>
      </c>
      <c r="D49" s="6">
        <v>42.0</v>
      </c>
      <c r="E49" s="15">
        <f t="shared" ref="E49:E52" si="3">C49/D49</f>
        <v>0.3571428571</v>
      </c>
      <c r="F49" s="15">
        <f>E49-E50</f>
        <v>0.02380952381</v>
      </c>
    </row>
    <row r="50">
      <c r="B50" s="19"/>
      <c r="C50" s="12">
        <v>14.0</v>
      </c>
      <c r="D50" s="6">
        <v>42.0</v>
      </c>
      <c r="E50" s="15">
        <f t="shared" si="3"/>
        <v>0.3333333333</v>
      </c>
      <c r="F50" s="15">
        <f>E50-E52</f>
        <v>0.02898550725</v>
      </c>
    </row>
    <row r="51">
      <c r="B51" s="19"/>
      <c r="C51" s="12">
        <v>15.0</v>
      </c>
      <c r="D51" s="6">
        <v>46.0</v>
      </c>
      <c r="E51" s="15">
        <f t="shared" si="3"/>
        <v>0.3260869565</v>
      </c>
    </row>
    <row r="52">
      <c r="B52" s="19"/>
      <c r="C52" s="12">
        <v>14.0</v>
      </c>
      <c r="D52" s="6">
        <v>46.0</v>
      </c>
      <c r="E52" s="15">
        <f t="shared" si="3"/>
        <v>0.3043478261</v>
      </c>
    </row>
    <row r="53">
      <c r="B53" s="19"/>
      <c r="C53" s="19"/>
    </row>
    <row r="54">
      <c r="B54" s="19"/>
      <c r="C54" s="19"/>
    </row>
    <row r="55">
      <c r="B55" s="19"/>
      <c r="C55" s="19"/>
    </row>
    <row r="56">
      <c r="B56" s="19"/>
      <c r="C56" s="19"/>
    </row>
    <row r="57">
      <c r="B57" s="19"/>
      <c r="C57" s="19"/>
    </row>
    <row r="58">
      <c r="B58" s="19"/>
      <c r="C58" s="19"/>
    </row>
    <row r="59">
      <c r="B59" s="19"/>
      <c r="C59" s="19"/>
    </row>
    <row r="60">
      <c r="B60" s="19"/>
      <c r="C60" s="19"/>
    </row>
    <row r="61">
      <c r="B61" s="19"/>
      <c r="C61" s="19"/>
    </row>
    <row r="62">
      <c r="B62" s="19"/>
      <c r="C62" s="19"/>
    </row>
    <row r="63">
      <c r="B63" s="19"/>
      <c r="C63" s="19"/>
    </row>
    <row r="64">
      <c r="B64" s="19"/>
      <c r="C64" s="19"/>
    </row>
    <row r="65">
      <c r="B65" s="19"/>
      <c r="C65" s="19"/>
    </row>
    <row r="66">
      <c r="B66" s="19"/>
      <c r="C66" s="19"/>
    </row>
    <row r="67">
      <c r="B67" s="19"/>
      <c r="C67" s="19"/>
    </row>
    <row r="68">
      <c r="B68" s="19"/>
      <c r="C68" s="19"/>
    </row>
    <row r="69">
      <c r="B69" s="19"/>
      <c r="C69" s="19"/>
    </row>
    <row r="70">
      <c r="B70" s="19"/>
      <c r="C70" s="19"/>
    </row>
    <row r="71">
      <c r="B71" s="19"/>
      <c r="C71" s="19"/>
    </row>
    <row r="72">
      <c r="B72" s="19"/>
      <c r="C72" s="19"/>
    </row>
    <row r="73">
      <c r="B73" s="19"/>
      <c r="C73" s="19"/>
    </row>
    <row r="74">
      <c r="B74" s="19"/>
      <c r="C74" s="19"/>
    </row>
    <row r="75">
      <c r="B75" s="19"/>
      <c r="C75" s="19"/>
    </row>
    <row r="76">
      <c r="B76" s="19"/>
      <c r="C76" s="19"/>
    </row>
    <row r="77">
      <c r="B77" s="19"/>
      <c r="C77" s="19"/>
    </row>
    <row r="78">
      <c r="B78" s="19"/>
      <c r="C78" s="19"/>
    </row>
    <row r="79">
      <c r="B79" s="19"/>
      <c r="C79" s="19"/>
    </row>
    <row r="80">
      <c r="B80" s="19"/>
      <c r="C80" s="19"/>
    </row>
    <row r="81">
      <c r="B81" s="19"/>
      <c r="C81" s="19"/>
    </row>
    <row r="82">
      <c r="B82" s="19"/>
      <c r="C82" s="19"/>
    </row>
    <row r="83">
      <c r="B83" s="19"/>
      <c r="C83" s="19"/>
    </row>
    <row r="84">
      <c r="B84" s="19"/>
      <c r="C84" s="19"/>
    </row>
    <row r="85">
      <c r="B85" s="19"/>
      <c r="C85" s="19"/>
    </row>
    <row r="86">
      <c r="B86" s="19"/>
      <c r="C86" s="19"/>
    </row>
    <row r="87">
      <c r="B87" s="19"/>
      <c r="C87" s="19"/>
    </row>
    <row r="88">
      <c r="B88" s="19"/>
      <c r="C88" s="19"/>
    </row>
    <row r="89">
      <c r="B89" s="19"/>
      <c r="C89" s="19"/>
    </row>
    <row r="90">
      <c r="B90" s="19"/>
      <c r="C90" s="19"/>
    </row>
    <row r="91">
      <c r="B91" s="19"/>
      <c r="C91" s="19"/>
    </row>
    <row r="92">
      <c r="B92" s="19"/>
      <c r="C92" s="19"/>
    </row>
    <row r="93">
      <c r="B93" s="19"/>
      <c r="C93" s="19"/>
    </row>
    <row r="94">
      <c r="B94" s="19"/>
      <c r="C94" s="19"/>
    </row>
    <row r="95">
      <c r="B95" s="19"/>
      <c r="C95" s="19"/>
    </row>
    <row r="96">
      <c r="B96" s="19"/>
      <c r="C96" s="19"/>
    </row>
    <row r="97">
      <c r="B97" s="19"/>
      <c r="C97" s="19"/>
    </row>
    <row r="98">
      <c r="B98" s="19"/>
      <c r="C98" s="19"/>
    </row>
    <row r="99">
      <c r="B99" s="19"/>
      <c r="C99" s="19"/>
    </row>
    <row r="100">
      <c r="B100" s="19"/>
      <c r="C100" s="19"/>
    </row>
    <row r="101">
      <c r="B101" s="19"/>
      <c r="C101" s="19"/>
    </row>
    <row r="102">
      <c r="B102" s="19"/>
      <c r="C102" s="19"/>
    </row>
    <row r="103">
      <c r="B103" s="19"/>
      <c r="C103" s="19"/>
    </row>
    <row r="104">
      <c r="B104" s="19"/>
      <c r="C104" s="19"/>
    </row>
    <row r="105">
      <c r="B105" s="19"/>
      <c r="C105" s="19"/>
    </row>
    <row r="106">
      <c r="B106" s="19"/>
      <c r="C106" s="19"/>
    </row>
    <row r="107">
      <c r="B107" s="19"/>
      <c r="C107" s="19"/>
    </row>
    <row r="108">
      <c r="B108" s="19"/>
      <c r="C108" s="19"/>
    </row>
    <row r="109">
      <c r="B109" s="19"/>
      <c r="C109" s="19"/>
    </row>
    <row r="110">
      <c r="B110" s="19"/>
      <c r="C110" s="19"/>
    </row>
    <row r="111">
      <c r="B111" s="19"/>
      <c r="C111" s="19"/>
    </row>
    <row r="112">
      <c r="B112" s="19"/>
      <c r="C112" s="19"/>
    </row>
    <row r="113">
      <c r="B113" s="19"/>
      <c r="C113" s="19"/>
    </row>
    <row r="114">
      <c r="B114" s="19"/>
      <c r="C114" s="19"/>
    </row>
    <row r="115">
      <c r="B115" s="19"/>
      <c r="C115" s="19"/>
    </row>
    <row r="116">
      <c r="B116" s="19"/>
      <c r="C116" s="19"/>
    </row>
    <row r="117">
      <c r="B117" s="19"/>
      <c r="C117" s="19"/>
    </row>
    <row r="118">
      <c r="B118" s="19"/>
      <c r="C118" s="19"/>
    </row>
    <row r="119">
      <c r="B119" s="19"/>
      <c r="C119" s="19"/>
    </row>
    <row r="120">
      <c r="B120" s="19"/>
      <c r="C120" s="19"/>
    </row>
    <row r="121">
      <c r="B121" s="19"/>
      <c r="C121" s="19"/>
    </row>
    <row r="122">
      <c r="B122" s="19"/>
      <c r="C122" s="19"/>
    </row>
    <row r="123">
      <c r="B123" s="19"/>
      <c r="C123" s="19"/>
    </row>
    <row r="124">
      <c r="B124" s="19"/>
      <c r="C124" s="19"/>
    </row>
    <row r="125">
      <c r="B125" s="19"/>
      <c r="C125" s="19"/>
    </row>
    <row r="126">
      <c r="B126" s="19"/>
      <c r="C126" s="19"/>
    </row>
    <row r="127">
      <c r="B127" s="19"/>
      <c r="C127" s="19"/>
    </row>
    <row r="128">
      <c r="B128" s="19"/>
      <c r="C128" s="19"/>
    </row>
    <row r="129">
      <c r="B129" s="19"/>
      <c r="C129" s="19"/>
    </row>
    <row r="130">
      <c r="B130" s="19"/>
      <c r="C130" s="19"/>
    </row>
    <row r="131">
      <c r="B131" s="19"/>
      <c r="C131" s="19"/>
    </row>
    <row r="132">
      <c r="B132" s="19"/>
      <c r="C132" s="19"/>
    </row>
    <row r="133">
      <c r="B133" s="19"/>
      <c r="C133" s="19"/>
    </row>
    <row r="134">
      <c r="B134" s="19"/>
      <c r="C134" s="19"/>
    </row>
    <row r="135">
      <c r="B135" s="19"/>
      <c r="C135" s="19"/>
    </row>
    <row r="136">
      <c r="B136" s="19"/>
      <c r="C136" s="19"/>
    </row>
    <row r="137">
      <c r="B137" s="19"/>
      <c r="C137" s="19"/>
    </row>
    <row r="138">
      <c r="B138" s="19"/>
      <c r="C138" s="19"/>
    </row>
    <row r="139">
      <c r="B139" s="19"/>
      <c r="C139" s="19"/>
    </row>
    <row r="140">
      <c r="B140" s="19"/>
      <c r="C140" s="19"/>
    </row>
    <row r="141">
      <c r="B141" s="19"/>
      <c r="C141" s="19"/>
    </row>
    <row r="142">
      <c r="B142" s="19"/>
      <c r="C142" s="19"/>
    </row>
    <row r="143">
      <c r="B143" s="19"/>
      <c r="C143" s="19"/>
    </row>
    <row r="144">
      <c r="B144" s="19"/>
      <c r="C144" s="19"/>
    </row>
    <row r="145">
      <c r="B145" s="19"/>
      <c r="C145" s="19"/>
    </row>
    <row r="146">
      <c r="B146" s="19"/>
      <c r="C146" s="19"/>
    </row>
    <row r="147">
      <c r="B147" s="19"/>
      <c r="C147" s="19"/>
    </row>
    <row r="148">
      <c r="B148" s="19"/>
      <c r="C148" s="19"/>
    </row>
    <row r="149">
      <c r="B149" s="19"/>
      <c r="C149" s="19"/>
    </row>
    <row r="150">
      <c r="B150" s="19"/>
      <c r="C150" s="19"/>
    </row>
    <row r="151">
      <c r="B151" s="19"/>
      <c r="C151" s="19"/>
    </row>
    <row r="152">
      <c r="B152" s="19"/>
      <c r="C152" s="19"/>
    </row>
    <row r="153">
      <c r="B153" s="19"/>
      <c r="C153" s="19"/>
    </row>
    <row r="154">
      <c r="B154" s="19"/>
      <c r="C154" s="19"/>
    </row>
    <row r="155">
      <c r="B155" s="19"/>
      <c r="C155" s="19"/>
    </row>
    <row r="156">
      <c r="B156" s="19"/>
      <c r="C156" s="19"/>
    </row>
    <row r="157">
      <c r="B157" s="19"/>
      <c r="C157" s="19"/>
    </row>
    <row r="158">
      <c r="B158" s="19"/>
      <c r="C158" s="19"/>
    </row>
    <row r="159">
      <c r="B159" s="19"/>
      <c r="C159" s="19"/>
    </row>
    <row r="160">
      <c r="B160" s="19"/>
      <c r="C160" s="19"/>
    </row>
    <row r="161">
      <c r="B161" s="19"/>
      <c r="C161" s="19"/>
    </row>
    <row r="162">
      <c r="B162" s="19"/>
      <c r="C162" s="19"/>
    </row>
    <row r="163">
      <c r="B163" s="19"/>
      <c r="C163" s="19"/>
    </row>
    <row r="164">
      <c r="B164" s="19"/>
      <c r="C164" s="19"/>
    </row>
    <row r="165">
      <c r="B165" s="19"/>
      <c r="C165" s="19"/>
    </row>
    <row r="166">
      <c r="B166" s="19"/>
      <c r="C166" s="19"/>
    </row>
    <row r="167">
      <c r="B167" s="19"/>
      <c r="C167" s="19"/>
    </row>
    <row r="168">
      <c r="B168" s="19"/>
      <c r="C168" s="19"/>
    </row>
    <row r="169">
      <c r="B169" s="19"/>
      <c r="C169" s="19"/>
    </row>
    <row r="170">
      <c r="B170" s="19"/>
      <c r="C170" s="19"/>
    </row>
    <row r="171">
      <c r="B171" s="19"/>
      <c r="C171" s="19"/>
    </row>
    <row r="172">
      <c r="B172" s="19"/>
      <c r="C172" s="19"/>
    </row>
    <row r="173">
      <c r="B173" s="19"/>
      <c r="C173" s="19"/>
    </row>
    <row r="174">
      <c r="B174" s="19"/>
      <c r="C174" s="19"/>
    </row>
    <row r="175">
      <c r="B175" s="19"/>
      <c r="C175" s="19"/>
    </row>
    <row r="176">
      <c r="B176" s="19"/>
      <c r="C176" s="19"/>
    </row>
    <row r="177">
      <c r="B177" s="19"/>
      <c r="C177" s="19"/>
    </row>
    <row r="178">
      <c r="B178" s="19"/>
      <c r="C178" s="19"/>
    </row>
    <row r="179">
      <c r="B179" s="19"/>
      <c r="C179" s="19"/>
    </row>
    <row r="180">
      <c r="B180" s="19"/>
      <c r="C180" s="19"/>
    </row>
    <row r="181">
      <c r="B181" s="19"/>
      <c r="C181" s="19"/>
    </row>
    <row r="182">
      <c r="B182" s="19"/>
      <c r="C182" s="19"/>
    </row>
    <row r="183">
      <c r="B183" s="19"/>
      <c r="C183" s="19"/>
    </row>
    <row r="184">
      <c r="B184" s="19"/>
      <c r="C184" s="19"/>
    </row>
    <row r="185">
      <c r="B185" s="19"/>
      <c r="C185" s="19"/>
    </row>
    <row r="186">
      <c r="B186" s="19"/>
      <c r="C186" s="19"/>
    </row>
    <row r="187">
      <c r="B187" s="19"/>
      <c r="C187" s="19"/>
    </row>
    <row r="188">
      <c r="B188" s="19"/>
      <c r="C188" s="19"/>
    </row>
    <row r="189">
      <c r="B189" s="19"/>
      <c r="C189" s="19"/>
    </row>
    <row r="190">
      <c r="B190" s="19"/>
      <c r="C190" s="19"/>
    </row>
    <row r="191">
      <c r="B191" s="19"/>
      <c r="C191" s="19"/>
    </row>
    <row r="192">
      <c r="B192" s="19"/>
      <c r="C192" s="19"/>
    </row>
    <row r="193">
      <c r="B193" s="19"/>
      <c r="C193" s="19"/>
    </row>
    <row r="194">
      <c r="B194" s="19"/>
      <c r="C194" s="19"/>
    </row>
    <row r="195">
      <c r="B195" s="19"/>
      <c r="C195" s="19"/>
    </row>
    <row r="196">
      <c r="B196" s="19"/>
      <c r="C196" s="19"/>
    </row>
    <row r="197">
      <c r="B197" s="19"/>
      <c r="C197" s="19"/>
    </row>
    <row r="198">
      <c r="B198" s="19"/>
      <c r="C198" s="19"/>
    </row>
    <row r="199">
      <c r="B199" s="19"/>
      <c r="C199" s="19"/>
    </row>
    <row r="200">
      <c r="B200" s="19"/>
      <c r="C200" s="19"/>
    </row>
    <row r="201">
      <c r="B201" s="19"/>
      <c r="C201" s="19"/>
    </row>
    <row r="202">
      <c r="B202" s="19"/>
      <c r="C202" s="19"/>
    </row>
    <row r="203">
      <c r="B203" s="19"/>
      <c r="C203" s="19"/>
    </row>
    <row r="204">
      <c r="B204" s="19"/>
      <c r="C204" s="19"/>
    </row>
    <row r="205">
      <c r="B205" s="19"/>
      <c r="C205" s="19"/>
    </row>
    <row r="206">
      <c r="B206" s="19"/>
      <c r="C206" s="19"/>
    </row>
    <row r="207">
      <c r="B207" s="19"/>
      <c r="C207" s="19"/>
    </row>
    <row r="208">
      <c r="B208" s="19"/>
      <c r="C208" s="19"/>
    </row>
    <row r="209">
      <c r="B209" s="19"/>
      <c r="C209" s="19"/>
    </row>
    <row r="210">
      <c r="B210" s="19"/>
      <c r="C210" s="19"/>
    </row>
    <row r="211">
      <c r="B211" s="19"/>
      <c r="C211" s="19"/>
    </row>
    <row r="212">
      <c r="B212" s="19"/>
      <c r="C212" s="19"/>
    </row>
    <row r="213">
      <c r="B213" s="19"/>
      <c r="C213" s="19"/>
    </row>
    <row r="214">
      <c r="B214" s="19"/>
      <c r="C214" s="19"/>
    </row>
    <row r="215">
      <c r="B215" s="19"/>
      <c r="C215" s="19"/>
    </row>
    <row r="216">
      <c r="B216" s="19"/>
      <c r="C216" s="19"/>
    </row>
    <row r="217">
      <c r="B217" s="19"/>
      <c r="C217" s="19"/>
    </row>
    <row r="218">
      <c r="B218" s="19"/>
      <c r="C218" s="19"/>
    </row>
    <row r="219">
      <c r="B219" s="19"/>
      <c r="C219" s="19"/>
    </row>
    <row r="220">
      <c r="B220" s="19"/>
      <c r="C220" s="19"/>
    </row>
    <row r="221">
      <c r="B221" s="19"/>
      <c r="C221" s="19"/>
    </row>
    <row r="222">
      <c r="B222" s="19"/>
      <c r="C222" s="19"/>
    </row>
    <row r="223">
      <c r="B223" s="19"/>
      <c r="C223" s="19"/>
    </row>
    <row r="224">
      <c r="B224" s="19"/>
      <c r="C224" s="19"/>
    </row>
    <row r="225">
      <c r="B225" s="19"/>
      <c r="C225" s="19"/>
    </row>
    <row r="226">
      <c r="B226" s="19"/>
      <c r="C226" s="19"/>
    </row>
    <row r="227">
      <c r="B227" s="19"/>
      <c r="C227" s="19"/>
    </row>
    <row r="228">
      <c r="B228" s="19"/>
      <c r="C228" s="19"/>
    </row>
    <row r="229">
      <c r="B229" s="19"/>
      <c r="C229" s="19"/>
    </row>
    <row r="230">
      <c r="B230" s="19"/>
      <c r="C230" s="19"/>
    </row>
    <row r="231">
      <c r="B231" s="19"/>
      <c r="C231" s="19"/>
    </row>
    <row r="232">
      <c r="B232" s="19"/>
      <c r="C232" s="19"/>
    </row>
    <row r="233">
      <c r="B233" s="19"/>
      <c r="C233" s="19"/>
    </row>
    <row r="234">
      <c r="B234" s="19"/>
      <c r="C234" s="19"/>
    </row>
    <row r="235">
      <c r="B235" s="19"/>
      <c r="C235" s="19"/>
    </row>
    <row r="236">
      <c r="B236" s="19"/>
      <c r="C236" s="19"/>
    </row>
    <row r="237">
      <c r="B237" s="19"/>
      <c r="C237" s="19"/>
    </row>
    <row r="238">
      <c r="B238" s="19"/>
      <c r="C238" s="19"/>
    </row>
    <row r="239">
      <c r="B239" s="19"/>
      <c r="C239" s="19"/>
    </row>
    <row r="240">
      <c r="B240" s="19"/>
      <c r="C240" s="19"/>
    </row>
    <row r="241">
      <c r="B241" s="19"/>
      <c r="C241" s="19"/>
    </row>
    <row r="242">
      <c r="B242" s="19"/>
      <c r="C242" s="19"/>
    </row>
    <row r="243">
      <c r="B243" s="19"/>
      <c r="C243" s="19"/>
    </row>
    <row r="244">
      <c r="B244" s="19"/>
      <c r="C244" s="19"/>
    </row>
    <row r="245">
      <c r="B245" s="19"/>
      <c r="C245" s="19"/>
    </row>
    <row r="246">
      <c r="B246" s="19"/>
      <c r="C246" s="19"/>
    </row>
    <row r="247">
      <c r="B247" s="19"/>
      <c r="C247" s="19"/>
    </row>
    <row r="248">
      <c r="B248" s="19"/>
      <c r="C248" s="19"/>
    </row>
    <row r="249">
      <c r="B249" s="19"/>
      <c r="C249" s="19"/>
    </row>
    <row r="250">
      <c r="B250" s="19"/>
      <c r="C250" s="19"/>
    </row>
    <row r="251">
      <c r="B251" s="19"/>
      <c r="C251" s="19"/>
    </row>
    <row r="252">
      <c r="B252" s="19"/>
      <c r="C252" s="19"/>
    </row>
    <row r="253">
      <c r="B253" s="19"/>
      <c r="C253" s="19"/>
    </row>
    <row r="254">
      <c r="B254" s="19"/>
      <c r="C254" s="19"/>
    </row>
    <row r="255">
      <c r="B255" s="19"/>
      <c r="C255" s="19"/>
    </row>
    <row r="256">
      <c r="B256" s="19"/>
      <c r="C256" s="19"/>
    </row>
    <row r="257">
      <c r="B257" s="19"/>
      <c r="C257" s="19"/>
    </row>
    <row r="258">
      <c r="B258" s="19"/>
      <c r="C258" s="19"/>
    </row>
    <row r="259">
      <c r="B259" s="19"/>
      <c r="C259" s="19"/>
    </row>
    <row r="260">
      <c r="B260" s="19"/>
      <c r="C260" s="19"/>
    </row>
    <row r="261">
      <c r="B261" s="19"/>
      <c r="C261" s="19"/>
    </row>
    <row r="262">
      <c r="B262" s="19"/>
      <c r="C262" s="19"/>
    </row>
    <row r="263">
      <c r="B263" s="19"/>
      <c r="C263" s="19"/>
    </row>
    <row r="264">
      <c r="B264" s="19"/>
      <c r="C264" s="19"/>
    </row>
    <row r="265">
      <c r="B265" s="19"/>
      <c r="C265" s="19"/>
    </row>
    <row r="266">
      <c r="B266" s="19"/>
      <c r="C266" s="19"/>
    </row>
    <row r="267">
      <c r="B267" s="19"/>
      <c r="C267" s="19"/>
    </row>
    <row r="268">
      <c r="B268" s="19"/>
      <c r="C268" s="19"/>
    </row>
    <row r="269">
      <c r="B269" s="19"/>
      <c r="C269" s="19"/>
    </row>
    <row r="270">
      <c r="B270" s="19"/>
      <c r="C270" s="19"/>
    </row>
    <row r="271">
      <c r="B271" s="19"/>
      <c r="C271" s="19"/>
    </row>
    <row r="272">
      <c r="B272" s="19"/>
      <c r="C272" s="19"/>
    </row>
    <row r="273">
      <c r="B273" s="19"/>
      <c r="C273" s="19"/>
    </row>
    <row r="274">
      <c r="B274" s="19"/>
      <c r="C274" s="19"/>
    </row>
    <row r="275">
      <c r="B275" s="19"/>
      <c r="C275" s="19"/>
    </row>
    <row r="276">
      <c r="B276" s="19"/>
      <c r="C276" s="19"/>
    </row>
    <row r="277">
      <c r="B277" s="19"/>
      <c r="C277" s="19"/>
    </row>
    <row r="278">
      <c r="B278" s="19"/>
      <c r="C278" s="19"/>
    </row>
    <row r="279">
      <c r="B279" s="19"/>
      <c r="C279" s="19"/>
    </row>
    <row r="280">
      <c r="B280" s="19"/>
      <c r="C280" s="19"/>
    </row>
    <row r="281">
      <c r="B281" s="19"/>
      <c r="C281" s="19"/>
    </row>
    <row r="282">
      <c r="B282" s="19"/>
      <c r="C282" s="19"/>
    </row>
    <row r="283">
      <c r="B283" s="19"/>
      <c r="C283" s="19"/>
    </row>
    <row r="284">
      <c r="B284" s="19"/>
      <c r="C284" s="19"/>
    </row>
    <row r="285">
      <c r="B285" s="19"/>
      <c r="C285" s="19"/>
    </row>
    <row r="286">
      <c r="B286" s="19"/>
      <c r="C286" s="19"/>
    </row>
    <row r="287">
      <c r="B287" s="19"/>
      <c r="C287" s="19"/>
    </row>
    <row r="288">
      <c r="B288" s="19"/>
      <c r="C288" s="19"/>
    </row>
    <row r="289">
      <c r="B289" s="19"/>
      <c r="C289" s="19"/>
    </row>
    <row r="290">
      <c r="B290" s="19"/>
      <c r="C290" s="19"/>
    </row>
    <row r="291">
      <c r="B291" s="19"/>
      <c r="C291" s="19"/>
    </row>
    <row r="292">
      <c r="B292" s="19"/>
      <c r="C292" s="19"/>
    </row>
    <row r="293">
      <c r="B293" s="19"/>
      <c r="C293" s="19"/>
    </row>
    <row r="294">
      <c r="B294" s="19"/>
      <c r="C294" s="19"/>
    </row>
    <row r="295">
      <c r="B295" s="19"/>
      <c r="C295" s="19"/>
    </row>
    <row r="296">
      <c r="B296" s="19"/>
      <c r="C296" s="19"/>
    </row>
    <row r="297">
      <c r="B297" s="19"/>
      <c r="C297" s="19"/>
    </row>
    <row r="298">
      <c r="B298" s="19"/>
      <c r="C298" s="19"/>
    </row>
    <row r="299">
      <c r="B299" s="19"/>
      <c r="C299" s="19"/>
    </row>
    <row r="300">
      <c r="B300" s="19"/>
      <c r="C300" s="19"/>
    </row>
    <row r="301">
      <c r="B301" s="19"/>
      <c r="C301" s="19"/>
    </row>
    <row r="302">
      <c r="B302" s="19"/>
      <c r="C302" s="19"/>
    </row>
    <row r="303">
      <c r="B303" s="19"/>
      <c r="C303" s="19"/>
    </row>
    <row r="304">
      <c r="B304" s="19"/>
      <c r="C304" s="19"/>
    </row>
    <row r="305">
      <c r="B305" s="19"/>
      <c r="C305" s="19"/>
    </row>
    <row r="306">
      <c r="B306" s="19"/>
      <c r="C306" s="19"/>
    </row>
    <row r="307">
      <c r="B307" s="19"/>
      <c r="C307" s="19"/>
    </row>
    <row r="308">
      <c r="B308" s="19"/>
      <c r="C308" s="19"/>
    </row>
    <row r="309">
      <c r="B309" s="19"/>
      <c r="C309" s="19"/>
    </row>
    <row r="310">
      <c r="B310" s="19"/>
      <c r="C310" s="19"/>
    </row>
    <row r="311">
      <c r="B311" s="19"/>
      <c r="C311" s="19"/>
    </row>
    <row r="312">
      <c r="B312" s="19"/>
      <c r="C312" s="19"/>
    </row>
    <row r="313">
      <c r="B313" s="19"/>
      <c r="C313" s="19"/>
    </row>
    <row r="314">
      <c r="B314" s="19"/>
      <c r="C314" s="19"/>
    </row>
    <row r="315">
      <c r="B315" s="19"/>
      <c r="C315" s="19"/>
    </row>
    <row r="316">
      <c r="B316" s="19"/>
      <c r="C316" s="19"/>
    </row>
    <row r="317">
      <c r="B317" s="19"/>
      <c r="C317" s="19"/>
    </row>
    <row r="318">
      <c r="B318" s="19"/>
      <c r="C318" s="19"/>
    </row>
    <row r="319">
      <c r="B319" s="19"/>
      <c r="C319" s="19"/>
    </row>
    <row r="320">
      <c r="B320" s="19"/>
      <c r="C320" s="19"/>
    </row>
    <row r="321">
      <c r="B321" s="19"/>
      <c r="C321" s="19"/>
    </row>
    <row r="322">
      <c r="B322" s="19"/>
      <c r="C322" s="19"/>
    </row>
    <row r="323">
      <c r="B323" s="19"/>
      <c r="C323" s="19"/>
    </row>
    <row r="324">
      <c r="B324" s="19"/>
      <c r="C324" s="19"/>
    </row>
    <row r="325">
      <c r="B325" s="19"/>
      <c r="C325" s="19"/>
    </row>
    <row r="326">
      <c r="B326" s="19"/>
      <c r="C326" s="19"/>
    </row>
    <row r="327">
      <c r="B327" s="19"/>
      <c r="C327" s="19"/>
    </row>
    <row r="328">
      <c r="B328" s="19"/>
      <c r="C328" s="19"/>
    </row>
    <row r="329">
      <c r="B329" s="19"/>
      <c r="C329" s="19"/>
    </row>
    <row r="330">
      <c r="B330" s="19"/>
      <c r="C330" s="19"/>
    </row>
    <row r="331">
      <c r="B331" s="19"/>
      <c r="C331" s="19"/>
    </row>
    <row r="332">
      <c r="B332" s="19"/>
      <c r="C332" s="19"/>
    </row>
    <row r="333">
      <c r="B333" s="19"/>
      <c r="C333" s="19"/>
    </row>
    <row r="334">
      <c r="B334" s="19"/>
      <c r="C334" s="19"/>
    </row>
    <row r="335">
      <c r="B335" s="19"/>
      <c r="C335" s="19"/>
    </row>
    <row r="336">
      <c r="B336" s="19"/>
      <c r="C336" s="19"/>
    </row>
    <row r="337">
      <c r="B337" s="19"/>
      <c r="C337" s="19"/>
    </row>
    <row r="338">
      <c r="B338" s="19"/>
      <c r="C338" s="19"/>
    </row>
    <row r="339">
      <c r="B339" s="19"/>
      <c r="C339" s="19"/>
    </row>
    <row r="340">
      <c r="B340" s="19"/>
      <c r="C340" s="19"/>
    </row>
    <row r="341">
      <c r="B341" s="19"/>
      <c r="C341" s="19"/>
    </row>
    <row r="342">
      <c r="B342" s="19"/>
      <c r="C342" s="19"/>
    </row>
    <row r="343">
      <c r="B343" s="19"/>
      <c r="C343" s="19"/>
    </row>
    <row r="344">
      <c r="B344" s="19"/>
      <c r="C344" s="19"/>
    </row>
    <row r="345">
      <c r="B345" s="19"/>
      <c r="C345" s="19"/>
    </row>
    <row r="346">
      <c r="B346" s="19"/>
      <c r="C346" s="19"/>
    </row>
    <row r="347">
      <c r="B347" s="19"/>
      <c r="C347" s="19"/>
    </row>
    <row r="348">
      <c r="B348" s="19"/>
      <c r="C348" s="19"/>
    </row>
    <row r="349">
      <c r="B349" s="19"/>
      <c r="C349" s="19"/>
    </row>
    <row r="350">
      <c r="B350" s="19"/>
      <c r="C350" s="19"/>
    </row>
    <row r="351">
      <c r="B351" s="19"/>
      <c r="C351" s="19"/>
    </row>
    <row r="352">
      <c r="B352" s="19"/>
      <c r="C352" s="19"/>
    </row>
    <row r="353">
      <c r="B353" s="19"/>
      <c r="C353" s="19"/>
    </row>
    <row r="354">
      <c r="B354" s="19"/>
      <c r="C354" s="19"/>
    </row>
    <row r="355">
      <c r="B355" s="19"/>
      <c r="C355" s="19"/>
    </row>
    <row r="356">
      <c r="B356" s="19"/>
      <c r="C356" s="19"/>
    </row>
    <row r="357">
      <c r="B357" s="19"/>
      <c r="C357" s="19"/>
    </row>
    <row r="358">
      <c r="B358" s="19"/>
      <c r="C358" s="19"/>
    </row>
    <row r="359">
      <c r="B359" s="19"/>
      <c r="C359" s="19"/>
    </row>
    <row r="360">
      <c r="B360" s="19"/>
      <c r="C360" s="19"/>
    </row>
    <row r="361">
      <c r="B361" s="19"/>
      <c r="C361" s="19"/>
    </row>
    <row r="362">
      <c r="B362" s="19"/>
      <c r="C362" s="19"/>
    </row>
    <row r="363">
      <c r="B363" s="19"/>
      <c r="C363" s="19"/>
    </row>
    <row r="364">
      <c r="B364" s="19"/>
      <c r="C364" s="19"/>
    </row>
    <row r="365">
      <c r="B365" s="19"/>
      <c r="C365" s="19"/>
    </row>
    <row r="366">
      <c r="B366" s="19"/>
      <c r="C366" s="19"/>
    </row>
    <row r="367">
      <c r="B367" s="19"/>
      <c r="C367" s="19"/>
    </row>
    <row r="368">
      <c r="B368" s="19"/>
      <c r="C368" s="19"/>
    </row>
    <row r="369">
      <c r="B369" s="19"/>
      <c r="C369" s="19"/>
    </row>
    <row r="370">
      <c r="B370" s="19"/>
      <c r="C370" s="19"/>
    </row>
    <row r="371">
      <c r="B371" s="19"/>
      <c r="C371" s="19"/>
    </row>
    <row r="372">
      <c r="B372" s="19"/>
      <c r="C372" s="19"/>
    </row>
    <row r="373">
      <c r="B373" s="19"/>
      <c r="C373" s="19"/>
    </row>
    <row r="374">
      <c r="B374" s="19"/>
      <c r="C374" s="19"/>
    </row>
    <row r="375">
      <c r="B375" s="19"/>
      <c r="C375" s="19"/>
    </row>
    <row r="376">
      <c r="B376" s="19"/>
      <c r="C376" s="19"/>
    </row>
    <row r="377">
      <c r="B377" s="19"/>
      <c r="C377" s="19"/>
    </row>
    <row r="378">
      <c r="B378" s="19"/>
      <c r="C378" s="19"/>
    </row>
    <row r="379">
      <c r="B379" s="19"/>
      <c r="C379" s="19"/>
    </row>
    <row r="380">
      <c r="B380" s="19"/>
      <c r="C380" s="19"/>
    </row>
    <row r="381">
      <c r="B381" s="19"/>
      <c r="C381" s="19"/>
    </row>
    <row r="382">
      <c r="B382" s="19"/>
      <c r="C382" s="19"/>
    </row>
    <row r="383">
      <c r="B383" s="19"/>
      <c r="C383" s="19"/>
    </row>
    <row r="384">
      <c r="B384" s="19"/>
      <c r="C384" s="19"/>
    </row>
    <row r="385">
      <c r="B385" s="19"/>
      <c r="C385" s="19"/>
    </row>
    <row r="386">
      <c r="B386" s="19"/>
      <c r="C386" s="19"/>
    </row>
    <row r="387">
      <c r="B387" s="19"/>
      <c r="C387" s="19"/>
    </row>
    <row r="388">
      <c r="B388" s="19"/>
      <c r="C388" s="19"/>
    </row>
    <row r="389">
      <c r="B389" s="19"/>
      <c r="C389" s="19"/>
    </row>
    <row r="390">
      <c r="B390" s="19"/>
      <c r="C390" s="19"/>
    </row>
    <row r="391">
      <c r="B391" s="19"/>
      <c r="C391" s="19"/>
    </row>
    <row r="392">
      <c r="B392" s="19"/>
      <c r="C392" s="19"/>
    </row>
    <row r="393">
      <c r="B393" s="19"/>
      <c r="C393" s="19"/>
    </row>
    <row r="394">
      <c r="B394" s="19"/>
      <c r="C394" s="19"/>
    </row>
    <row r="395">
      <c r="B395" s="19"/>
      <c r="C395" s="19"/>
    </row>
    <row r="396">
      <c r="B396" s="19"/>
      <c r="C396" s="19"/>
    </row>
    <row r="397">
      <c r="B397" s="19"/>
      <c r="C397" s="19"/>
    </row>
    <row r="398">
      <c r="B398" s="19"/>
      <c r="C398" s="19"/>
    </row>
    <row r="399">
      <c r="B399" s="19"/>
      <c r="C399" s="19"/>
    </row>
    <row r="400">
      <c r="B400" s="19"/>
      <c r="C400" s="19"/>
    </row>
    <row r="401">
      <c r="B401" s="19"/>
      <c r="C401" s="19"/>
    </row>
    <row r="402">
      <c r="B402" s="19"/>
      <c r="C402" s="19"/>
    </row>
    <row r="403">
      <c r="B403" s="19"/>
      <c r="C403" s="19"/>
    </row>
    <row r="404">
      <c r="B404" s="19"/>
      <c r="C404" s="19"/>
    </row>
    <row r="405">
      <c r="B405" s="19"/>
      <c r="C405" s="19"/>
    </row>
    <row r="406">
      <c r="B406" s="19"/>
      <c r="C406" s="19"/>
    </row>
    <row r="407">
      <c r="B407" s="19"/>
      <c r="C407" s="19"/>
    </row>
    <row r="408">
      <c r="B408" s="19"/>
      <c r="C408" s="19"/>
    </row>
    <row r="409">
      <c r="B409" s="19"/>
      <c r="C409" s="19"/>
    </row>
    <row r="410">
      <c r="B410" s="19"/>
      <c r="C410" s="19"/>
    </row>
    <row r="411">
      <c r="B411" s="19"/>
      <c r="C411" s="19"/>
    </row>
    <row r="412">
      <c r="B412" s="19"/>
      <c r="C412" s="19"/>
    </row>
    <row r="413">
      <c r="B413" s="19"/>
      <c r="C413" s="19"/>
    </row>
    <row r="414">
      <c r="B414" s="19"/>
      <c r="C414" s="19"/>
    </row>
    <row r="415">
      <c r="B415" s="19"/>
      <c r="C415" s="19"/>
    </row>
    <row r="416">
      <c r="B416" s="19"/>
      <c r="C416" s="19"/>
    </row>
    <row r="417">
      <c r="B417" s="19"/>
      <c r="C417" s="19"/>
    </row>
    <row r="418">
      <c r="B418" s="19"/>
      <c r="C418" s="19"/>
    </row>
    <row r="419">
      <c r="B419" s="19"/>
      <c r="C419" s="19"/>
    </row>
    <row r="420">
      <c r="B420" s="19"/>
      <c r="C420" s="19"/>
    </row>
    <row r="421">
      <c r="B421" s="19"/>
      <c r="C421" s="19"/>
    </row>
    <row r="422">
      <c r="B422" s="19"/>
      <c r="C422" s="19"/>
    </row>
    <row r="423">
      <c r="B423" s="19"/>
      <c r="C423" s="19"/>
    </row>
    <row r="424">
      <c r="B424" s="19"/>
      <c r="C424" s="19"/>
    </row>
    <row r="425">
      <c r="B425" s="19"/>
      <c r="C425" s="19"/>
    </row>
    <row r="426">
      <c r="B426" s="19"/>
      <c r="C426" s="19"/>
    </row>
    <row r="427">
      <c r="B427" s="19"/>
      <c r="C427" s="19"/>
    </row>
    <row r="428">
      <c r="B428" s="19"/>
      <c r="C428" s="19"/>
    </row>
    <row r="429">
      <c r="B429" s="19"/>
      <c r="C429" s="19"/>
    </row>
    <row r="430">
      <c r="B430" s="19"/>
      <c r="C430" s="19"/>
    </row>
    <row r="431">
      <c r="B431" s="19"/>
      <c r="C431" s="19"/>
    </row>
    <row r="432">
      <c r="B432" s="19"/>
      <c r="C432" s="19"/>
    </row>
    <row r="433">
      <c r="B433" s="19"/>
      <c r="C433" s="19"/>
    </row>
    <row r="434">
      <c r="B434" s="19"/>
      <c r="C434" s="19"/>
    </row>
    <row r="435">
      <c r="B435" s="19"/>
      <c r="C435" s="19"/>
    </row>
    <row r="436">
      <c r="B436" s="19"/>
      <c r="C436" s="19"/>
    </row>
    <row r="437">
      <c r="B437" s="19"/>
      <c r="C437" s="19"/>
    </row>
    <row r="438">
      <c r="B438" s="19"/>
      <c r="C438" s="19"/>
    </row>
    <row r="439">
      <c r="B439" s="19"/>
      <c r="C439" s="19"/>
    </row>
    <row r="440">
      <c r="B440" s="19"/>
      <c r="C440" s="19"/>
    </row>
    <row r="441">
      <c r="B441" s="19"/>
      <c r="C441" s="19"/>
    </row>
    <row r="442">
      <c r="B442" s="19"/>
      <c r="C442" s="19"/>
    </row>
    <row r="443">
      <c r="B443" s="19"/>
      <c r="C443" s="19"/>
    </row>
    <row r="444">
      <c r="B444" s="19"/>
      <c r="C444" s="19"/>
    </row>
    <row r="445">
      <c r="B445" s="19"/>
      <c r="C445" s="19"/>
    </row>
    <row r="446">
      <c r="B446" s="19"/>
      <c r="C446" s="19"/>
    </row>
    <row r="447">
      <c r="B447" s="19"/>
      <c r="C447" s="19"/>
    </row>
    <row r="448">
      <c r="B448" s="19"/>
      <c r="C448" s="19"/>
    </row>
    <row r="449">
      <c r="B449" s="19"/>
      <c r="C449" s="19"/>
    </row>
    <row r="450">
      <c r="B450" s="19"/>
      <c r="C450" s="19"/>
    </row>
    <row r="451">
      <c r="B451" s="19"/>
      <c r="C451" s="19"/>
    </row>
    <row r="452">
      <c r="B452" s="19"/>
      <c r="C452" s="19"/>
    </row>
    <row r="453">
      <c r="B453" s="19"/>
      <c r="C453" s="19"/>
    </row>
    <row r="454">
      <c r="B454" s="19"/>
      <c r="C454" s="19"/>
    </row>
    <row r="455">
      <c r="B455" s="19"/>
      <c r="C455" s="19"/>
    </row>
    <row r="456">
      <c r="B456" s="19"/>
      <c r="C456" s="19"/>
    </row>
    <row r="457">
      <c r="B457" s="19"/>
      <c r="C457" s="19"/>
    </row>
    <row r="458">
      <c r="B458" s="19"/>
      <c r="C458" s="19"/>
    </row>
    <row r="459">
      <c r="B459" s="19"/>
      <c r="C459" s="19"/>
    </row>
    <row r="460">
      <c r="B460" s="19"/>
      <c r="C460" s="19"/>
    </row>
    <row r="461">
      <c r="B461" s="19"/>
      <c r="C461" s="19"/>
    </row>
    <row r="462">
      <c r="B462" s="19"/>
      <c r="C462" s="19"/>
    </row>
    <row r="463">
      <c r="B463" s="19"/>
      <c r="C463" s="19"/>
    </row>
    <row r="464">
      <c r="B464" s="19"/>
      <c r="C464" s="19"/>
    </row>
    <row r="465">
      <c r="B465" s="19"/>
      <c r="C465" s="19"/>
    </row>
    <row r="466">
      <c r="B466" s="19"/>
      <c r="C466" s="19"/>
    </row>
    <row r="467">
      <c r="B467" s="19"/>
      <c r="C467" s="19"/>
    </row>
    <row r="468">
      <c r="B468" s="19"/>
      <c r="C468" s="19"/>
    </row>
    <row r="469">
      <c r="B469" s="19"/>
      <c r="C469" s="19"/>
    </row>
    <row r="470">
      <c r="B470" s="19"/>
      <c r="C470" s="19"/>
    </row>
    <row r="471">
      <c r="B471" s="19"/>
      <c r="C471" s="19"/>
    </row>
    <row r="472">
      <c r="B472" s="19"/>
      <c r="C472" s="19"/>
    </row>
    <row r="473">
      <c r="B473" s="19"/>
      <c r="C473" s="19"/>
    </row>
    <row r="474">
      <c r="B474" s="19"/>
      <c r="C474" s="19"/>
    </row>
    <row r="475">
      <c r="B475" s="19"/>
      <c r="C475" s="19"/>
    </row>
    <row r="476">
      <c r="B476" s="19"/>
      <c r="C476" s="19"/>
    </row>
    <row r="477">
      <c r="B477" s="19"/>
      <c r="C477" s="19"/>
    </row>
    <row r="478">
      <c r="B478" s="19"/>
      <c r="C478" s="19"/>
    </row>
    <row r="479">
      <c r="B479" s="19"/>
      <c r="C479" s="19"/>
    </row>
    <row r="480">
      <c r="B480" s="19"/>
      <c r="C480" s="19"/>
    </row>
    <row r="481">
      <c r="B481" s="19"/>
      <c r="C481" s="19"/>
    </row>
    <row r="482">
      <c r="B482" s="19"/>
      <c r="C482" s="19"/>
    </row>
    <row r="483">
      <c r="B483" s="19"/>
      <c r="C483" s="19"/>
    </row>
    <row r="484">
      <c r="B484" s="19"/>
      <c r="C484" s="19"/>
    </row>
    <row r="485">
      <c r="B485" s="19"/>
      <c r="C485" s="19"/>
    </row>
    <row r="486">
      <c r="B486" s="19"/>
      <c r="C486" s="19"/>
    </row>
    <row r="487">
      <c r="B487" s="19"/>
      <c r="C487" s="19"/>
    </row>
    <row r="488">
      <c r="B488" s="19"/>
      <c r="C488" s="19"/>
    </row>
    <row r="489">
      <c r="B489" s="19"/>
      <c r="C489" s="19"/>
    </row>
    <row r="490">
      <c r="B490" s="19"/>
      <c r="C490" s="19"/>
    </row>
    <row r="491">
      <c r="B491" s="19"/>
      <c r="C491" s="19"/>
    </row>
    <row r="492">
      <c r="B492" s="19"/>
      <c r="C492" s="19"/>
    </row>
    <row r="493">
      <c r="B493" s="19"/>
      <c r="C493" s="19"/>
    </row>
    <row r="494">
      <c r="B494" s="19"/>
      <c r="C494" s="19"/>
    </row>
    <row r="495">
      <c r="B495" s="19"/>
      <c r="C495" s="19"/>
    </row>
    <row r="496">
      <c r="B496" s="19"/>
      <c r="C496" s="19"/>
    </row>
    <row r="497">
      <c r="B497" s="19"/>
      <c r="C497" s="19"/>
    </row>
    <row r="498">
      <c r="B498" s="19"/>
      <c r="C498" s="19"/>
    </row>
    <row r="499">
      <c r="B499" s="19"/>
      <c r="C499" s="19"/>
    </row>
    <row r="500">
      <c r="B500" s="19"/>
      <c r="C500" s="19"/>
    </row>
    <row r="501">
      <c r="B501" s="19"/>
      <c r="C501" s="19"/>
    </row>
    <row r="502">
      <c r="B502" s="19"/>
      <c r="C502" s="19"/>
    </row>
    <row r="503">
      <c r="B503" s="19"/>
      <c r="C503" s="19"/>
    </row>
    <row r="504">
      <c r="B504" s="19"/>
      <c r="C504" s="19"/>
    </row>
    <row r="505">
      <c r="B505" s="19"/>
      <c r="C505" s="19"/>
    </row>
    <row r="506">
      <c r="B506" s="19"/>
      <c r="C506" s="19"/>
    </row>
    <row r="507">
      <c r="B507" s="19"/>
      <c r="C507" s="19"/>
    </row>
    <row r="508">
      <c r="B508" s="19"/>
      <c r="C508" s="19"/>
    </row>
    <row r="509">
      <c r="B509" s="19"/>
      <c r="C509" s="19"/>
    </row>
    <row r="510">
      <c r="B510" s="19"/>
      <c r="C510" s="19"/>
    </row>
    <row r="511">
      <c r="B511" s="19"/>
      <c r="C511" s="19"/>
    </row>
    <row r="512">
      <c r="B512" s="19"/>
      <c r="C512" s="19"/>
    </row>
    <row r="513">
      <c r="B513" s="19"/>
      <c r="C513" s="19"/>
    </row>
    <row r="514">
      <c r="B514" s="19"/>
      <c r="C514" s="19"/>
    </row>
    <row r="515">
      <c r="B515" s="19"/>
      <c r="C515" s="19"/>
    </row>
    <row r="516">
      <c r="B516" s="19"/>
      <c r="C516" s="19"/>
    </row>
    <row r="517">
      <c r="B517" s="19"/>
      <c r="C517" s="19"/>
    </row>
    <row r="518">
      <c r="B518" s="19"/>
      <c r="C518" s="19"/>
    </row>
    <row r="519">
      <c r="B519" s="19"/>
      <c r="C519" s="19"/>
    </row>
    <row r="520">
      <c r="B520" s="19"/>
      <c r="C520" s="19"/>
    </row>
    <row r="521">
      <c r="B521" s="19"/>
      <c r="C521" s="19"/>
    </row>
    <row r="522">
      <c r="B522" s="19"/>
      <c r="C522" s="19"/>
    </row>
    <row r="523">
      <c r="B523" s="19"/>
      <c r="C523" s="19"/>
    </row>
    <row r="524">
      <c r="B524" s="19"/>
      <c r="C524" s="19"/>
    </row>
    <row r="525">
      <c r="B525" s="19"/>
      <c r="C525" s="19"/>
    </row>
    <row r="526">
      <c r="B526" s="19"/>
      <c r="C526" s="19"/>
    </row>
    <row r="527">
      <c r="B527" s="19"/>
      <c r="C527" s="19"/>
    </row>
    <row r="528">
      <c r="B528" s="19"/>
      <c r="C528" s="19"/>
    </row>
    <row r="529">
      <c r="B529" s="19"/>
      <c r="C529" s="19"/>
    </row>
    <row r="530">
      <c r="B530" s="19"/>
      <c r="C530" s="19"/>
    </row>
    <row r="531">
      <c r="B531" s="19"/>
      <c r="C531" s="19"/>
    </row>
    <row r="532">
      <c r="B532" s="19"/>
      <c r="C532" s="19"/>
    </row>
    <row r="533">
      <c r="B533" s="19"/>
      <c r="C533" s="19"/>
    </row>
    <row r="534">
      <c r="B534" s="19"/>
      <c r="C534" s="19"/>
    </row>
    <row r="535">
      <c r="B535" s="19"/>
      <c r="C535" s="19"/>
    </row>
    <row r="536">
      <c r="B536" s="19"/>
      <c r="C536" s="19"/>
    </row>
    <row r="537">
      <c r="B537" s="19"/>
      <c r="C537" s="19"/>
    </row>
    <row r="538">
      <c r="B538" s="19"/>
      <c r="C538" s="19"/>
    </row>
    <row r="539">
      <c r="B539" s="19"/>
      <c r="C539" s="19"/>
    </row>
    <row r="540">
      <c r="B540" s="19"/>
      <c r="C540" s="19"/>
    </row>
    <row r="541">
      <c r="B541" s="19"/>
      <c r="C541" s="19"/>
    </row>
    <row r="542">
      <c r="B542" s="19"/>
      <c r="C542" s="19"/>
    </row>
    <row r="543">
      <c r="B543" s="19"/>
      <c r="C543" s="19"/>
    </row>
    <row r="544">
      <c r="B544" s="19"/>
      <c r="C544" s="19"/>
    </row>
    <row r="545">
      <c r="B545" s="19"/>
      <c r="C545" s="19"/>
    </row>
    <row r="546">
      <c r="B546" s="19"/>
      <c r="C546" s="19"/>
    </row>
    <row r="547">
      <c r="B547" s="19"/>
      <c r="C547" s="19"/>
    </row>
    <row r="548">
      <c r="B548" s="19"/>
      <c r="C548" s="19"/>
    </row>
    <row r="549">
      <c r="B549" s="19"/>
      <c r="C549" s="19"/>
    </row>
    <row r="550">
      <c r="B550" s="19"/>
      <c r="C550" s="19"/>
    </row>
    <row r="551">
      <c r="B551" s="19"/>
      <c r="C551" s="19"/>
    </row>
    <row r="552">
      <c r="B552" s="19"/>
      <c r="C552" s="19"/>
    </row>
    <row r="553">
      <c r="B553" s="19"/>
      <c r="C553" s="19"/>
    </row>
    <row r="554">
      <c r="B554" s="19"/>
      <c r="C554" s="19"/>
    </row>
    <row r="555">
      <c r="B555" s="19"/>
      <c r="C555" s="19"/>
    </row>
    <row r="556">
      <c r="B556" s="19"/>
      <c r="C556" s="19"/>
    </row>
    <row r="557">
      <c r="B557" s="19"/>
      <c r="C557" s="19"/>
    </row>
    <row r="558">
      <c r="B558" s="19"/>
      <c r="C558" s="19"/>
    </row>
    <row r="559">
      <c r="B559" s="19"/>
      <c r="C559" s="19"/>
    </row>
    <row r="560">
      <c r="B560" s="19"/>
      <c r="C560" s="19"/>
    </row>
    <row r="561">
      <c r="B561" s="19"/>
      <c r="C561" s="19"/>
    </row>
    <row r="562">
      <c r="B562" s="19"/>
      <c r="C562" s="19"/>
    </row>
    <row r="563">
      <c r="B563" s="19"/>
      <c r="C563" s="19"/>
    </row>
    <row r="564">
      <c r="B564" s="19"/>
      <c r="C564" s="19"/>
    </row>
    <row r="565">
      <c r="B565" s="19"/>
      <c r="C565" s="19"/>
    </row>
    <row r="566">
      <c r="B566" s="19"/>
      <c r="C566" s="19"/>
    </row>
    <row r="567">
      <c r="B567" s="19"/>
      <c r="C567" s="19"/>
    </row>
    <row r="568">
      <c r="B568" s="19"/>
      <c r="C568" s="19"/>
    </row>
    <row r="569">
      <c r="B569" s="19"/>
      <c r="C569" s="19"/>
    </row>
    <row r="570">
      <c r="B570" s="19"/>
      <c r="C570" s="19"/>
    </row>
    <row r="571">
      <c r="B571" s="19"/>
      <c r="C571" s="19"/>
    </row>
    <row r="572">
      <c r="B572" s="19"/>
      <c r="C572" s="19"/>
    </row>
    <row r="573">
      <c r="B573" s="19"/>
      <c r="C573" s="19"/>
    </row>
    <row r="574">
      <c r="B574" s="19"/>
      <c r="C574" s="19"/>
    </row>
    <row r="575">
      <c r="B575" s="19"/>
      <c r="C575" s="19"/>
    </row>
    <row r="576">
      <c r="B576" s="19"/>
      <c r="C576" s="19"/>
    </row>
    <row r="577">
      <c r="B577" s="19"/>
      <c r="C577" s="19"/>
    </row>
    <row r="578">
      <c r="B578" s="19"/>
      <c r="C578" s="19"/>
    </row>
    <row r="579">
      <c r="B579" s="19"/>
      <c r="C579" s="19"/>
    </row>
    <row r="580">
      <c r="B580" s="19"/>
      <c r="C580" s="19"/>
    </row>
    <row r="581">
      <c r="B581" s="19"/>
      <c r="C581" s="19"/>
    </row>
    <row r="582">
      <c r="B582" s="19"/>
      <c r="C582" s="19"/>
    </row>
    <row r="583">
      <c r="B583" s="19"/>
      <c r="C583" s="19"/>
    </row>
    <row r="584">
      <c r="B584" s="19"/>
      <c r="C584" s="19"/>
    </row>
    <row r="585">
      <c r="B585" s="19"/>
      <c r="C585" s="19"/>
    </row>
    <row r="586">
      <c r="B586" s="19"/>
      <c r="C586" s="19"/>
    </row>
    <row r="587">
      <c r="B587" s="19"/>
      <c r="C587" s="19"/>
    </row>
    <row r="588">
      <c r="B588" s="19"/>
      <c r="C588" s="19"/>
    </row>
    <row r="589">
      <c r="B589" s="19"/>
      <c r="C589" s="19"/>
    </row>
    <row r="590">
      <c r="B590" s="19"/>
      <c r="C590" s="19"/>
    </row>
    <row r="591">
      <c r="B591" s="19"/>
      <c r="C591" s="19"/>
    </row>
    <row r="592">
      <c r="B592" s="19"/>
      <c r="C592" s="19"/>
    </row>
    <row r="593">
      <c r="B593" s="19"/>
      <c r="C593" s="19"/>
    </row>
    <row r="594">
      <c r="B594" s="19"/>
      <c r="C594" s="19"/>
    </row>
    <row r="595">
      <c r="B595" s="19"/>
      <c r="C595" s="19"/>
    </row>
    <row r="596">
      <c r="B596" s="19"/>
      <c r="C596" s="19"/>
    </row>
    <row r="597">
      <c r="B597" s="19"/>
      <c r="C597" s="19"/>
    </row>
    <row r="598">
      <c r="B598" s="19"/>
      <c r="C598" s="19"/>
    </row>
    <row r="599">
      <c r="B599" s="19"/>
      <c r="C599" s="19"/>
    </row>
    <row r="600">
      <c r="B600" s="19"/>
      <c r="C600" s="19"/>
    </row>
    <row r="601">
      <c r="B601" s="19"/>
      <c r="C601" s="19"/>
    </row>
    <row r="602">
      <c r="B602" s="19"/>
      <c r="C602" s="19"/>
    </row>
    <row r="603">
      <c r="B603" s="19"/>
      <c r="C603" s="19"/>
    </row>
    <row r="604">
      <c r="B604" s="19"/>
      <c r="C604" s="19"/>
    </row>
    <row r="605">
      <c r="B605" s="19"/>
      <c r="C605" s="19"/>
    </row>
    <row r="606">
      <c r="B606" s="19"/>
      <c r="C606" s="19"/>
    </row>
    <row r="607">
      <c r="B607" s="19"/>
      <c r="C607" s="19"/>
    </row>
    <row r="608">
      <c r="B608" s="19"/>
      <c r="C608" s="19"/>
    </row>
    <row r="609">
      <c r="B609" s="19"/>
      <c r="C609" s="19"/>
    </row>
    <row r="610">
      <c r="B610" s="19"/>
      <c r="C610" s="19"/>
    </row>
    <row r="611">
      <c r="B611" s="19"/>
      <c r="C611" s="19"/>
    </row>
    <row r="612">
      <c r="B612" s="19"/>
      <c r="C612" s="19"/>
    </row>
    <row r="613">
      <c r="B613" s="19"/>
      <c r="C613" s="19"/>
    </row>
    <row r="614">
      <c r="B614" s="19"/>
      <c r="C614" s="19"/>
    </row>
    <row r="615">
      <c r="B615" s="19"/>
      <c r="C615" s="19"/>
    </row>
    <row r="616">
      <c r="B616" s="19"/>
      <c r="C616" s="19"/>
    </row>
    <row r="617">
      <c r="B617" s="19"/>
      <c r="C617" s="19"/>
    </row>
    <row r="618">
      <c r="B618" s="19"/>
      <c r="C618" s="19"/>
    </row>
    <row r="619">
      <c r="B619" s="19"/>
      <c r="C619" s="19"/>
    </row>
    <row r="620">
      <c r="B620" s="19"/>
      <c r="C620" s="19"/>
    </row>
    <row r="621">
      <c r="B621" s="19"/>
      <c r="C621" s="19"/>
    </row>
    <row r="622">
      <c r="B622" s="19"/>
      <c r="C622" s="19"/>
    </row>
    <row r="623">
      <c r="B623" s="19"/>
      <c r="C623" s="19"/>
    </row>
    <row r="624">
      <c r="B624" s="19"/>
      <c r="C624" s="19"/>
    </row>
    <row r="625">
      <c r="B625" s="19"/>
      <c r="C625" s="19"/>
    </row>
    <row r="626">
      <c r="B626" s="19"/>
      <c r="C626" s="19"/>
    </row>
    <row r="627">
      <c r="B627" s="19"/>
      <c r="C627" s="19"/>
    </row>
    <row r="628">
      <c r="B628" s="19"/>
      <c r="C628" s="19"/>
    </row>
    <row r="629">
      <c r="B629" s="19"/>
      <c r="C629" s="19"/>
    </row>
    <row r="630">
      <c r="B630" s="19"/>
      <c r="C630" s="19"/>
    </row>
    <row r="631">
      <c r="B631" s="19"/>
      <c r="C631" s="19"/>
    </row>
    <row r="632">
      <c r="B632" s="19"/>
      <c r="C632" s="19"/>
    </row>
    <row r="633">
      <c r="B633" s="19"/>
      <c r="C633" s="19"/>
    </row>
    <row r="634">
      <c r="B634" s="19"/>
      <c r="C634" s="19"/>
    </row>
    <row r="635">
      <c r="B635" s="19"/>
      <c r="C635" s="19"/>
    </row>
    <row r="636">
      <c r="B636" s="19"/>
      <c r="C636" s="19"/>
    </row>
    <row r="637">
      <c r="B637" s="19"/>
      <c r="C637" s="19"/>
    </row>
    <row r="638">
      <c r="B638" s="19"/>
      <c r="C638" s="19"/>
    </row>
    <row r="639">
      <c r="B639" s="19"/>
      <c r="C639" s="19"/>
    </row>
    <row r="640">
      <c r="B640" s="19"/>
      <c r="C640" s="19"/>
    </row>
    <row r="641">
      <c r="B641" s="19"/>
      <c r="C641" s="19"/>
    </row>
    <row r="642">
      <c r="B642" s="19"/>
      <c r="C642" s="19"/>
    </row>
    <row r="643">
      <c r="B643" s="19"/>
      <c r="C643" s="19"/>
    </row>
    <row r="644">
      <c r="B644" s="19"/>
      <c r="C644" s="19"/>
    </row>
    <row r="645">
      <c r="B645" s="19"/>
      <c r="C645" s="19"/>
    </row>
    <row r="646">
      <c r="B646" s="19"/>
      <c r="C646" s="19"/>
    </row>
    <row r="647">
      <c r="B647" s="19"/>
      <c r="C647" s="19"/>
    </row>
    <row r="648">
      <c r="B648" s="19"/>
      <c r="C648" s="19"/>
    </row>
    <row r="649">
      <c r="B649" s="19"/>
      <c r="C649" s="19"/>
    </row>
    <row r="650">
      <c r="B650" s="19"/>
      <c r="C650" s="19"/>
    </row>
    <row r="651">
      <c r="B651" s="19"/>
      <c r="C651" s="19"/>
    </row>
    <row r="652">
      <c r="B652" s="19"/>
      <c r="C652" s="19"/>
    </row>
    <row r="653">
      <c r="B653" s="19"/>
      <c r="C653" s="19"/>
    </row>
    <row r="654">
      <c r="B654" s="19"/>
      <c r="C654" s="19"/>
    </row>
    <row r="655">
      <c r="B655" s="19"/>
      <c r="C655" s="19"/>
    </row>
    <row r="656">
      <c r="B656" s="19"/>
      <c r="C656" s="19"/>
    </row>
    <row r="657">
      <c r="B657" s="19"/>
      <c r="C657" s="19"/>
    </row>
    <row r="658">
      <c r="B658" s="19"/>
      <c r="C658" s="19"/>
    </row>
    <row r="659">
      <c r="B659" s="19"/>
      <c r="C659" s="19"/>
    </row>
    <row r="660">
      <c r="B660" s="19"/>
      <c r="C660" s="19"/>
    </row>
    <row r="661">
      <c r="B661" s="19"/>
      <c r="C661" s="19"/>
    </row>
    <row r="662">
      <c r="B662" s="19"/>
      <c r="C662" s="19"/>
    </row>
    <row r="663">
      <c r="B663" s="19"/>
      <c r="C663" s="19"/>
    </row>
    <row r="664">
      <c r="B664" s="19"/>
      <c r="C664" s="19"/>
    </row>
    <row r="665">
      <c r="B665" s="19"/>
      <c r="C665" s="19"/>
    </row>
    <row r="666">
      <c r="B666" s="19"/>
      <c r="C666" s="19"/>
    </row>
    <row r="667">
      <c r="B667" s="19"/>
      <c r="C667" s="19"/>
    </row>
    <row r="668">
      <c r="B668" s="19"/>
      <c r="C668" s="19"/>
    </row>
    <row r="669">
      <c r="B669" s="19"/>
      <c r="C669" s="19"/>
    </row>
    <row r="670">
      <c r="B670" s="19"/>
      <c r="C670" s="19"/>
    </row>
    <row r="671">
      <c r="B671" s="19"/>
      <c r="C671" s="19"/>
    </row>
    <row r="672">
      <c r="B672" s="19"/>
      <c r="C672" s="19"/>
    </row>
    <row r="673">
      <c r="B673" s="19"/>
      <c r="C673" s="19"/>
    </row>
    <row r="674">
      <c r="B674" s="19"/>
      <c r="C674" s="19"/>
    </row>
    <row r="675">
      <c r="B675" s="19"/>
      <c r="C675" s="19"/>
    </row>
    <row r="676">
      <c r="B676" s="19"/>
      <c r="C676" s="19"/>
    </row>
    <row r="677">
      <c r="B677" s="19"/>
      <c r="C677" s="19"/>
    </row>
    <row r="678">
      <c r="B678" s="19"/>
      <c r="C678" s="19"/>
    </row>
    <row r="679">
      <c r="B679" s="19"/>
      <c r="C679" s="19"/>
    </row>
    <row r="680">
      <c r="B680" s="19"/>
      <c r="C680" s="19"/>
    </row>
    <row r="681">
      <c r="B681" s="19"/>
      <c r="C681" s="19"/>
    </row>
    <row r="682">
      <c r="B682" s="19"/>
      <c r="C682" s="19"/>
    </row>
    <row r="683">
      <c r="B683" s="19"/>
      <c r="C683" s="19"/>
    </row>
    <row r="684">
      <c r="B684" s="19"/>
      <c r="C684" s="19"/>
    </row>
    <row r="685">
      <c r="B685" s="19"/>
      <c r="C685" s="19"/>
    </row>
    <row r="686">
      <c r="B686" s="19"/>
      <c r="C686" s="19"/>
    </row>
    <row r="687">
      <c r="B687" s="19"/>
      <c r="C687" s="19"/>
    </row>
    <row r="688">
      <c r="B688" s="19"/>
      <c r="C688" s="19"/>
    </row>
    <row r="689">
      <c r="B689" s="19"/>
      <c r="C689" s="19"/>
    </row>
    <row r="690">
      <c r="B690" s="19"/>
      <c r="C690" s="19"/>
    </row>
    <row r="691">
      <c r="B691" s="19"/>
      <c r="C691" s="19"/>
    </row>
    <row r="692">
      <c r="B692" s="19"/>
      <c r="C692" s="19"/>
    </row>
    <row r="693">
      <c r="B693" s="19"/>
      <c r="C693" s="19"/>
    </row>
    <row r="694">
      <c r="B694" s="19"/>
      <c r="C694" s="19"/>
    </row>
    <row r="695">
      <c r="B695" s="19"/>
      <c r="C695" s="19"/>
    </row>
    <row r="696">
      <c r="B696" s="19"/>
      <c r="C696" s="19"/>
    </row>
    <row r="697">
      <c r="B697" s="19"/>
      <c r="C697" s="19"/>
    </row>
    <row r="698">
      <c r="B698" s="19"/>
      <c r="C698" s="19"/>
    </row>
    <row r="699">
      <c r="B699" s="19"/>
      <c r="C699" s="19"/>
    </row>
    <row r="700">
      <c r="B700" s="19"/>
      <c r="C700" s="19"/>
    </row>
    <row r="701">
      <c r="B701" s="19"/>
      <c r="C701" s="19"/>
    </row>
    <row r="702">
      <c r="B702" s="19"/>
      <c r="C702" s="19"/>
    </row>
    <row r="703">
      <c r="B703" s="19"/>
      <c r="C703" s="19"/>
    </row>
    <row r="704">
      <c r="B704" s="19"/>
      <c r="C704" s="19"/>
    </row>
    <row r="705">
      <c r="B705" s="19"/>
      <c r="C705" s="19"/>
    </row>
    <row r="706">
      <c r="B706" s="19"/>
      <c r="C706" s="19"/>
    </row>
    <row r="707">
      <c r="B707" s="19"/>
      <c r="C707" s="19"/>
    </row>
    <row r="708">
      <c r="B708" s="19"/>
      <c r="C708" s="19"/>
    </row>
    <row r="709">
      <c r="B709" s="19"/>
      <c r="C709" s="19"/>
    </row>
    <row r="710">
      <c r="B710" s="19"/>
      <c r="C710" s="19"/>
    </row>
    <row r="711">
      <c r="B711" s="19"/>
      <c r="C711" s="19"/>
    </row>
    <row r="712">
      <c r="B712" s="19"/>
      <c r="C712" s="19"/>
    </row>
    <row r="713">
      <c r="B713" s="19"/>
      <c r="C713" s="19"/>
    </row>
    <row r="714">
      <c r="B714" s="19"/>
      <c r="C714" s="19"/>
    </row>
    <row r="715">
      <c r="B715" s="19"/>
      <c r="C715" s="19"/>
    </row>
    <row r="716">
      <c r="B716" s="19"/>
      <c r="C716" s="19"/>
    </row>
    <row r="717">
      <c r="B717" s="19"/>
      <c r="C717" s="19"/>
    </row>
    <row r="718">
      <c r="B718" s="19"/>
      <c r="C718" s="19"/>
    </row>
    <row r="719">
      <c r="B719" s="19"/>
      <c r="C719" s="19"/>
    </row>
    <row r="720">
      <c r="B720" s="19"/>
      <c r="C720" s="19"/>
    </row>
    <row r="721">
      <c r="B721" s="19"/>
      <c r="C721" s="19"/>
    </row>
    <row r="722">
      <c r="B722" s="19"/>
      <c r="C722" s="19"/>
    </row>
    <row r="723">
      <c r="B723" s="19"/>
      <c r="C723" s="19"/>
    </row>
    <row r="724">
      <c r="B724" s="19"/>
      <c r="C724" s="19"/>
    </row>
    <row r="725">
      <c r="B725" s="19"/>
      <c r="C725" s="19"/>
    </row>
    <row r="726">
      <c r="B726" s="19"/>
      <c r="C726" s="19"/>
    </row>
    <row r="727">
      <c r="B727" s="19"/>
      <c r="C727" s="19"/>
    </row>
    <row r="728">
      <c r="B728" s="19"/>
      <c r="C728" s="19"/>
    </row>
    <row r="729">
      <c r="B729" s="19"/>
      <c r="C729" s="19"/>
    </row>
    <row r="730">
      <c r="B730" s="19"/>
      <c r="C730" s="19"/>
    </row>
    <row r="731">
      <c r="B731" s="19"/>
      <c r="C731" s="19"/>
    </row>
    <row r="732">
      <c r="B732" s="19"/>
      <c r="C732" s="19"/>
    </row>
    <row r="733">
      <c r="B733" s="19"/>
      <c r="C733" s="19"/>
    </row>
    <row r="734">
      <c r="B734" s="19"/>
      <c r="C734" s="19"/>
    </row>
    <row r="735">
      <c r="B735" s="19"/>
      <c r="C735" s="19"/>
    </row>
    <row r="736">
      <c r="B736" s="19"/>
      <c r="C736" s="19"/>
    </row>
    <row r="737">
      <c r="B737" s="19"/>
      <c r="C737" s="19"/>
    </row>
    <row r="738">
      <c r="B738" s="19"/>
      <c r="C738" s="19"/>
    </row>
    <row r="739">
      <c r="B739" s="19"/>
      <c r="C739" s="19"/>
    </row>
    <row r="740">
      <c r="B740" s="19"/>
      <c r="C740" s="19"/>
    </row>
    <row r="741">
      <c r="B741" s="19"/>
      <c r="C741" s="19"/>
    </row>
    <row r="742">
      <c r="B742" s="19"/>
      <c r="C742" s="19"/>
    </row>
    <row r="743">
      <c r="B743" s="19"/>
      <c r="C743" s="19"/>
    </row>
    <row r="744">
      <c r="B744" s="19"/>
      <c r="C744" s="19"/>
    </row>
    <row r="745">
      <c r="B745" s="19"/>
      <c r="C745" s="19"/>
    </row>
    <row r="746">
      <c r="B746" s="19"/>
      <c r="C746" s="19"/>
    </row>
    <row r="747">
      <c r="B747" s="19"/>
      <c r="C747" s="19"/>
    </row>
    <row r="748">
      <c r="B748" s="19"/>
      <c r="C748" s="19"/>
    </row>
    <row r="749">
      <c r="B749" s="19"/>
      <c r="C749" s="19"/>
    </row>
    <row r="750">
      <c r="B750" s="19"/>
      <c r="C750" s="19"/>
    </row>
    <row r="751">
      <c r="B751" s="19"/>
      <c r="C751" s="19"/>
    </row>
    <row r="752">
      <c r="B752" s="19"/>
      <c r="C752" s="19"/>
    </row>
    <row r="753">
      <c r="B753" s="19"/>
      <c r="C753" s="19"/>
    </row>
    <row r="754">
      <c r="B754" s="19"/>
      <c r="C754" s="19"/>
    </row>
    <row r="755">
      <c r="B755" s="19"/>
      <c r="C755" s="19"/>
    </row>
    <row r="756">
      <c r="B756" s="19"/>
      <c r="C756" s="19"/>
    </row>
    <row r="757">
      <c r="B757" s="19"/>
      <c r="C757" s="19"/>
    </row>
    <row r="758">
      <c r="B758" s="19"/>
      <c r="C758" s="19"/>
    </row>
    <row r="759">
      <c r="B759" s="19"/>
      <c r="C759" s="19"/>
    </row>
    <row r="760">
      <c r="B760" s="19"/>
      <c r="C760" s="19"/>
    </row>
    <row r="761">
      <c r="B761" s="19"/>
      <c r="C761" s="19"/>
    </row>
    <row r="762">
      <c r="B762" s="19"/>
      <c r="C762" s="19"/>
    </row>
    <row r="763">
      <c r="B763" s="19"/>
      <c r="C763" s="19"/>
    </row>
    <row r="764">
      <c r="B764" s="19"/>
      <c r="C764" s="19"/>
    </row>
    <row r="765">
      <c r="B765" s="19"/>
      <c r="C765" s="19"/>
    </row>
    <row r="766">
      <c r="B766" s="19"/>
      <c r="C766" s="19"/>
    </row>
    <row r="767">
      <c r="B767" s="19"/>
      <c r="C767" s="19"/>
    </row>
    <row r="768">
      <c r="B768" s="19"/>
      <c r="C768" s="19"/>
    </row>
    <row r="769">
      <c r="B769" s="19"/>
      <c r="C769" s="19"/>
    </row>
    <row r="770">
      <c r="B770" s="19"/>
      <c r="C770" s="19"/>
    </row>
    <row r="771">
      <c r="B771" s="19"/>
      <c r="C771" s="19"/>
    </row>
    <row r="772">
      <c r="B772" s="19"/>
      <c r="C772" s="19"/>
    </row>
    <row r="773">
      <c r="B773" s="19"/>
      <c r="C773" s="19"/>
    </row>
    <row r="774">
      <c r="B774" s="19"/>
      <c r="C774" s="19"/>
    </row>
    <row r="775">
      <c r="B775" s="19"/>
      <c r="C775" s="19"/>
    </row>
    <row r="776">
      <c r="B776" s="19"/>
      <c r="C776" s="19"/>
    </row>
    <row r="777">
      <c r="B777" s="19"/>
      <c r="C777" s="19"/>
    </row>
    <row r="778">
      <c r="B778" s="19"/>
      <c r="C778" s="19"/>
    </row>
    <row r="779">
      <c r="B779" s="19"/>
      <c r="C779" s="19"/>
    </row>
    <row r="780">
      <c r="B780" s="19"/>
      <c r="C780" s="19"/>
    </row>
    <row r="781">
      <c r="B781" s="19"/>
      <c r="C781" s="19"/>
    </row>
    <row r="782">
      <c r="B782" s="19"/>
      <c r="C782" s="19"/>
    </row>
    <row r="783">
      <c r="B783" s="19"/>
      <c r="C783" s="19"/>
    </row>
    <row r="784">
      <c r="B784" s="19"/>
      <c r="C784" s="19"/>
    </row>
    <row r="785">
      <c r="B785" s="19"/>
      <c r="C785" s="19"/>
    </row>
    <row r="786">
      <c r="B786" s="19"/>
      <c r="C786" s="19"/>
    </row>
    <row r="787">
      <c r="B787" s="19"/>
      <c r="C787" s="19"/>
    </row>
    <row r="788">
      <c r="B788" s="19"/>
      <c r="C788" s="19"/>
    </row>
    <row r="789">
      <c r="B789" s="19"/>
      <c r="C789" s="19"/>
    </row>
    <row r="790">
      <c r="B790" s="19"/>
      <c r="C790" s="19"/>
    </row>
    <row r="791">
      <c r="B791" s="19"/>
      <c r="C791" s="19"/>
    </row>
    <row r="792">
      <c r="B792" s="19"/>
      <c r="C792" s="19"/>
    </row>
    <row r="793">
      <c r="B793" s="19"/>
      <c r="C793" s="19"/>
    </row>
    <row r="794">
      <c r="B794" s="19"/>
      <c r="C794" s="19"/>
    </row>
    <row r="795">
      <c r="B795" s="19"/>
      <c r="C795" s="19"/>
    </row>
    <row r="796">
      <c r="B796" s="19"/>
      <c r="C796" s="19"/>
    </row>
    <row r="797">
      <c r="B797" s="19"/>
      <c r="C797" s="19"/>
    </row>
    <row r="798">
      <c r="B798" s="19"/>
      <c r="C798" s="19"/>
    </row>
    <row r="799">
      <c r="B799" s="19"/>
      <c r="C799" s="19"/>
    </row>
    <row r="800">
      <c r="B800" s="19"/>
      <c r="C800" s="19"/>
    </row>
    <row r="801">
      <c r="B801" s="19"/>
      <c r="C801" s="19"/>
    </row>
    <row r="802">
      <c r="B802" s="19"/>
      <c r="C802" s="19"/>
    </row>
    <row r="803">
      <c r="B803" s="19"/>
      <c r="C803" s="19"/>
    </row>
    <row r="804">
      <c r="B804" s="19"/>
      <c r="C804" s="19"/>
    </row>
    <row r="805">
      <c r="B805" s="19"/>
      <c r="C805" s="19"/>
    </row>
    <row r="806">
      <c r="B806" s="19"/>
      <c r="C806" s="19"/>
    </row>
    <row r="807">
      <c r="B807" s="19"/>
      <c r="C807" s="19"/>
    </row>
    <row r="808">
      <c r="B808" s="19"/>
      <c r="C808" s="19"/>
    </row>
    <row r="809">
      <c r="B809" s="19"/>
      <c r="C809" s="19"/>
    </row>
    <row r="810">
      <c r="B810" s="19"/>
      <c r="C810" s="19"/>
    </row>
    <row r="811">
      <c r="B811" s="19"/>
      <c r="C811" s="19"/>
    </row>
    <row r="812">
      <c r="B812" s="19"/>
      <c r="C812" s="19"/>
    </row>
    <row r="813">
      <c r="B813" s="19"/>
      <c r="C813" s="19"/>
    </row>
    <row r="814">
      <c r="B814" s="19"/>
      <c r="C814" s="19"/>
    </row>
    <row r="815">
      <c r="B815" s="19"/>
      <c r="C815" s="19"/>
    </row>
    <row r="816">
      <c r="B816" s="19"/>
      <c r="C816" s="19"/>
    </row>
    <row r="817">
      <c r="B817" s="19"/>
      <c r="C817" s="19"/>
    </row>
    <row r="818">
      <c r="B818" s="19"/>
      <c r="C818" s="19"/>
    </row>
    <row r="819">
      <c r="B819" s="19"/>
      <c r="C819" s="19"/>
    </row>
    <row r="820">
      <c r="B820" s="19"/>
      <c r="C820" s="19"/>
    </row>
    <row r="821">
      <c r="B821" s="19"/>
      <c r="C821" s="19"/>
    </row>
    <row r="822">
      <c r="B822" s="19"/>
      <c r="C822" s="19"/>
    </row>
    <row r="823">
      <c r="B823" s="19"/>
      <c r="C823" s="19"/>
    </row>
    <row r="824">
      <c r="B824" s="19"/>
      <c r="C824" s="19"/>
    </row>
    <row r="825">
      <c r="B825" s="19"/>
      <c r="C825" s="19"/>
    </row>
    <row r="826">
      <c r="B826" s="19"/>
      <c r="C826" s="19"/>
    </row>
    <row r="827">
      <c r="B827" s="19"/>
      <c r="C827" s="19"/>
    </row>
    <row r="828">
      <c r="B828" s="19"/>
      <c r="C828" s="19"/>
    </row>
    <row r="829">
      <c r="B829" s="19"/>
      <c r="C829" s="19"/>
    </row>
    <row r="830">
      <c r="B830" s="19"/>
      <c r="C830" s="19"/>
    </row>
    <row r="831">
      <c r="B831" s="19"/>
      <c r="C831" s="19"/>
    </row>
    <row r="832">
      <c r="B832" s="19"/>
      <c r="C832" s="19"/>
    </row>
    <row r="833">
      <c r="B833" s="19"/>
      <c r="C833" s="19"/>
    </row>
    <row r="834">
      <c r="B834" s="19"/>
      <c r="C834" s="19"/>
    </row>
    <row r="835">
      <c r="B835" s="19"/>
      <c r="C835" s="19"/>
    </row>
    <row r="836">
      <c r="B836" s="19"/>
      <c r="C836" s="19"/>
    </row>
    <row r="837">
      <c r="B837" s="19"/>
      <c r="C837" s="19"/>
    </row>
    <row r="838">
      <c r="B838" s="19"/>
      <c r="C838" s="19"/>
    </row>
    <row r="839">
      <c r="B839" s="19"/>
      <c r="C839" s="19"/>
    </row>
    <row r="840">
      <c r="B840" s="19"/>
      <c r="C840" s="19"/>
    </row>
    <row r="841">
      <c r="B841" s="19"/>
      <c r="C841" s="19"/>
    </row>
    <row r="842">
      <c r="B842" s="19"/>
      <c r="C842" s="19"/>
    </row>
    <row r="843">
      <c r="B843" s="19"/>
      <c r="C843" s="19"/>
    </row>
    <row r="844">
      <c r="B844" s="19"/>
      <c r="C844" s="19"/>
    </row>
    <row r="845">
      <c r="B845" s="19"/>
      <c r="C845" s="19"/>
    </row>
    <row r="846">
      <c r="B846" s="19"/>
      <c r="C846" s="19"/>
    </row>
    <row r="847">
      <c r="B847" s="19"/>
      <c r="C847" s="19"/>
    </row>
    <row r="848">
      <c r="B848" s="19"/>
      <c r="C848" s="19"/>
    </row>
    <row r="849">
      <c r="B849" s="19"/>
      <c r="C849" s="19"/>
    </row>
    <row r="850">
      <c r="B850" s="19"/>
      <c r="C850" s="19"/>
    </row>
    <row r="851">
      <c r="B851" s="19"/>
      <c r="C851" s="19"/>
    </row>
    <row r="852">
      <c r="B852" s="19"/>
      <c r="C852" s="19"/>
    </row>
    <row r="853">
      <c r="B853" s="19"/>
      <c r="C853" s="19"/>
    </row>
    <row r="854">
      <c r="B854" s="19"/>
      <c r="C854" s="19"/>
    </row>
    <row r="855">
      <c r="B855" s="19"/>
      <c r="C855" s="19"/>
    </row>
    <row r="856">
      <c r="B856" s="19"/>
      <c r="C856" s="19"/>
    </row>
    <row r="857">
      <c r="B857" s="19"/>
      <c r="C857" s="19"/>
    </row>
    <row r="858">
      <c r="B858" s="19"/>
      <c r="C858" s="19"/>
    </row>
    <row r="859">
      <c r="B859" s="19"/>
      <c r="C859" s="19"/>
    </row>
    <row r="860">
      <c r="B860" s="19"/>
      <c r="C860" s="19"/>
    </row>
    <row r="861">
      <c r="B861" s="19"/>
      <c r="C861" s="19"/>
    </row>
    <row r="862">
      <c r="B862" s="19"/>
      <c r="C862" s="19"/>
    </row>
    <row r="863">
      <c r="B863" s="19"/>
      <c r="C863" s="19"/>
    </row>
    <row r="864">
      <c r="B864" s="19"/>
      <c r="C864" s="19"/>
    </row>
    <row r="865">
      <c r="B865" s="19"/>
      <c r="C865" s="19"/>
    </row>
    <row r="866">
      <c r="B866" s="19"/>
      <c r="C866" s="19"/>
    </row>
    <row r="867">
      <c r="B867" s="19"/>
      <c r="C867" s="19"/>
    </row>
    <row r="868">
      <c r="B868" s="19"/>
      <c r="C868" s="19"/>
    </row>
    <row r="869">
      <c r="B869" s="19"/>
      <c r="C869" s="19"/>
    </row>
    <row r="870">
      <c r="B870" s="19"/>
      <c r="C870" s="19"/>
    </row>
    <row r="871">
      <c r="B871" s="19"/>
      <c r="C871" s="19"/>
    </row>
    <row r="872">
      <c r="B872" s="19"/>
      <c r="C872" s="19"/>
    </row>
    <row r="873">
      <c r="B873" s="19"/>
      <c r="C873" s="19"/>
    </row>
    <row r="874">
      <c r="B874" s="19"/>
      <c r="C874" s="19"/>
    </row>
    <row r="875">
      <c r="B875" s="19"/>
      <c r="C875" s="19"/>
    </row>
    <row r="876">
      <c r="B876" s="19"/>
      <c r="C876" s="19"/>
    </row>
    <row r="877">
      <c r="B877" s="19"/>
      <c r="C877" s="19"/>
    </row>
    <row r="878">
      <c r="B878" s="19"/>
      <c r="C878" s="19"/>
    </row>
    <row r="879">
      <c r="B879" s="19"/>
      <c r="C879" s="19"/>
    </row>
    <row r="880">
      <c r="B880" s="19"/>
      <c r="C880" s="19"/>
    </row>
    <row r="881">
      <c r="B881" s="19"/>
      <c r="C881" s="19"/>
    </row>
    <row r="882">
      <c r="B882" s="19"/>
      <c r="C882" s="19"/>
    </row>
    <row r="883">
      <c r="B883" s="19"/>
      <c r="C883" s="19"/>
    </row>
    <row r="884">
      <c r="B884" s="19"/>
      <c r="C884" s="19"/>
    </row>
    <row r="885">
      <c r="B885" s="19"/>
      <c r="C885" s="19"/>
    </row>
    <row r="886">
      <c r="B886" s="19"/>
      <c r="C886" s="19"/>
    </row>
    <row r="887">
      <c r="B887" s="19"/>
      <c r="C887" s="19"/>
    </row>
    <row r="888">
      <c r="B888" s="19"/>
      <c r="C888" s="19"/>
    </row>
    <row r="889">
      <c r="B889" s="19"/>
      <c r="C889" s="19"/>
    </row>
    <row r="890">
      <c r="B890" s="19"/>
      <c r="C890" s="19"/>
    </row>
    <row r="891">
      <c r="B891" s="19"/>
      <c r="C891" s="19"/>
    </row>
    <row r="892">
      <c r="B892" s="19"/>
      <c r="C892" s="19"/>
    </row>
    <row r="893">
      <c r="B893" s="19"/>
      <c r="C893" s="19"/>
    </row>
    <row r="894">
      <c r="B894" s="19"/>
      <c r="C894" s="19"/>
    </row>
    <row r="895">
      <c r="B895" s="19"/>
      <c r="C895" s="19"/>
    </row>
    <row r="896">
      <c r="B896" s="19"/>
      <c r="C896" s="19"/>
    </row>
    <row r="897">
      <c r="B897" s="19"/>
      <c r="C897" s="19"/>
    </row>
    <row r="898">
      <c r="B898" s="19"/>
      <c r="C898" s="19"/>
    </row>
    <row r="899">
      <c r="B899" s="19"/>
      <c r="C899" s="19"/>
    </row>
    <row r="900">
      <c r="B900" s="19"/>
      <c r="C900" s="19"/>
    </row>
    <row r="901">
      <c r="B901" s="19"/>
      <c r="C901" s="19"/>
    </row>
    <row r="902">
      <c r="B902" s="19"/>
      <c r="C902" s="19"/>
    </row>
    <row r="903">
      <c r="B903" s="19"/>
      <c r="C903" s="19"/>
    </row>
    <row r="904">
      <c r="B904" s="19"/>
      <c r="C904" s="19"/>
    </row>
    <row r="905">
      <c r="B905" s="19"/>
      <c r="C905" s="19"/>
    </row>
    <row r="906">
      <c r="B906" s="19"/>
      <c r="C906" s="19"/>
    </row>
    <row r="907">
      <c r="B907" s="19"/>
      <c r="C907" s="19"/>
    </row>
    <row r="908">
      <c r="B908" s="19"/>
      <c r="C908" s="19"/>
    </row>
    <row r="909">
      <c r="B909" s="19"/>
      <c r="C909" s="19"/>
    </row>
    <row r="910">
      <c r="B910" s="19"/>
      <c r="C910" s="19"/>
    </row>
    <row r="911">
      <c r="B911" s="19"/>
      <c r="C911" s="19"/>
    </row>
    <row r="912">
      <c r="B912" s="19"/>
      <c r="C912" s="19"/>
    </row>
    <row r="913">
      <c r="B913" s="19"/>
      <c r="C913" s="19"/>
    </row>
    <row r="914">
      <c r="B914" s="19"/>
      <c r="C914" s="19"/>
    </row>
    <row r="915">
      <c r="B915" s="19"/>
      <c r="C915" s="19"/>
    </row>
    <row r="916">
      <c r="B916" s="19"/>
      <c r="C916" s="19"/>
    </row>
    <row r="917">
      <c r="B917" s="19"/>
      <c r="C917" s="19"/>
    </row>
    <row r="918">
      <c r="B918" s="19"/>
      <c r="C918" s="19"/>
    </row>
    <row r="919">
      <c r="B919" s="19"/>
      <c r="C919" s="19"/>
    </row>
    <row r="920">
      <c r="B920" s="19"/>
      <c r="C920" s="19"/>
    </row>
    <row r="921">
      <c r="B921" s="19"/>
      <c r="C921" s="19"/>
    </row>
    <row r="922">
      <c r="B922" s="19"/>
      <c r="C922" s="19"/>
    </row>
    <row r="923">
      <c r="B923" s="19"/>
      <c r="C923" s="19"/>
    </row>
    <row r="924">
      <c r="B924" s="19"/>
      <c r="C924" s="19"/>
    </row>
    <row r="925">
      <c r="B925" s="19"/>
      <c r="C925" s="19"/>
    </row>
    <row r="926">
      <c r="B926" s="19"/>
      <c r="C926" s="19"/>
    </row>
    <row r="927">
      <c r="B927" s="19"/>
      <c r="C927" s="19"/>
    </row>
    <row r="928">
      <c r="B928" s="19"/>
      <c r="C928" s="19"/>
    </row>
    <row r="929">
      <c r="B929" s="19"/>
      <c r="C929" s="19"/>
    </row>
    <row r="930">
      <c r="B930" s="19"/>
      <c r="C930" s="19"/>
    </row>
    <row r="931">
      <c r="B931" s="19"/>
      <c r="C931" s="19"/>
    </row>
    <row r="932">
      <c r="B932" s="19"/>
      <c r="C932" s="19"/>
    </row>
    <row r="933">
      <c r="B933" s="19"/>
      <c r="C933" s="19"/>
    </row>
    <row r="934">
      <c r="B934" s="19"/>
      <c r="C934" s="19"/>
    </row>
    <row r="935">
      <c r="B935" s="19"/>
      <c r="C935" s="19"/>
    </row>
    <row r="936">
      <c r="B936" s="19"/>
      <c r="C936" s="19"/>
    </row>
    <row r="937">
      <c r="B937" s="19"/>
      <c r="C937" s="19"/>
    </row>
    <row r="938">
      <c r="B938" s="19"/>
      <c r="C938" s="19"/>
    </row>
    <row r="939">
      <c r="B939" s="19"/>
      <c r="C939" s="19"/>
    </row>
    <row r="940">
      <c r="B940" s="19"/>
      <c r="C940" s="19"/>
    </row>
    <row r="941">
      <c r="B941" s="19"/>
      <c r="C941" s="19"/>
    </row>
    <row r="942">
      <c r="B942" s="19"/>
      <c r="C942" s="19"/>
    </row>
    <row r="943">
      <c r="B943" s="19"/>
      <c r="C943" s="19"/>
    </row>
    <row r="944">
      <c r="B944" s="19"/>
      <c r="C944" s="19"/>
    </row>
    <row r="945">
      <c r="B945" s="19"/>
      <c r="C945" s="19"/>
    </row>
    <row r="946">
      <c r="B946" s="19"/>
      <c r="C946" s="19"/>
    </row>
    <row r="947">
      <c r="B947" s="19"/>
      <c r="C947" s="19"/>
    </row>
    <row r="948">
      <c r="B948" s="19"/>
      <c r="C948" s="19"/>
    </row>
    <row r="949">
      <c r="B949" s="19"/>
      <c r="C949" s="19"/>
    </row>
    <row r="950">
      <c r="B950" s="19"/>
      <c r="C950" s="19"/>
    </row>
    <row r="951">
      <c r="B951" s="19"/>
      <c r="C951" s="19"/>
    </row>
    <row r="952">
      <c r="B952" s="19"/>
      <c r="C952" s="19"/>
    </row>
    <row r="953">
      <c r="B953" s="19"/>
      <c r="C953" s="19"/>
    </row>
    <row r="954">
      <c r="B954" s="19"/>
      <c r="C954" s="19"/>
    </row>
    <row r="955">
      <c r="B955" s="19"/>
      <c r="C955" s="19"/>
    </row>
    <row r="956">
      <c r="B956" s="19"/>
      <c r="C956" s="19"/>
    </row>
    <row r="957">
      <c r="B957" s="19"/>
      <c r="C957" s="19"/>
    </row>
    <row r="958">
      <c r="B958" s="19"/>
      <c r="C958" s="19"/>
    </row>
    <row r="959">
      <c r="B959" s="19"/>
      <c r="C959" s="19"/>
    </row>
    <row r="960">
      <c r="B960" s="19"/>
      <c r="C960" s="19"/>
    </row>
    <row r="961">
      <c r="B961" s="19"/>
      <c r="C961" s="19"/>
    </row>
    <row r="962">
      <c r="B962" s="19"/>
      <c r="C962" s="19"/>
    </row>
    <row r="963">
      <c r="B963" s="19"/>
      <c r="C963" s="19"/>
    </row>
    <row r="964">
      <c r="B964" s="19"/>
      <c r="C964" s="19"/>
    </row>
    <row r="965">
      <c r="B965" s="19"/>
      <c r="C965" s="19"/>
    </row>
    <row r="966">
      <c r="B966" s="19"/>
      <c r="C966" s="19"/>
    </row>
    <row r="967">
      <c r="B967" s="19"/>
      <c r="C967" s="19"/>
    </row>
    <row r="968">
      <c r="B968" s="19"/>
      <c r="C968" s="19"/>
    </row>
    <row r="969">
      <c r="B969" s="19"/>
      <c r="C969" s="19"/>
    </row>
    <row r="970">
      <c r="B970" s="19"/>
      <c r="C970" s="19"/>
    </row>
    <row r="971">
      <c r="B971" s="19"/>
      <c r="C971" s="19"/>
    </row>
    <row r="972">
      <c r="B972" s="19"/>
      <c r="C972" s="19"/>
    </row>
    <row r="973">
      <c r="B973" s="19"/>
      <c r="C973" s="19"/>
    </row>
    <row r="974">
      <c r="B974" s="19"/>
      <c r="C974" s="19"/>
    </row>
    <row r="975">
      <c r="B975" s="19"/>
      <c r="C975" s="19"/>
    </row>
    <row r="976">
      <c r="B976" s="19"/>
      <c r="C976" s="19"/>
    </row>
    <row r="977">
      <c r="B977" s="19"/>
      <c r="C977" s="19"/>
    </row>
    <row r="978">
      <c r="B978" s="19"/>
      <c r="C978" s="19"/>
    </row>
    <row r="979">
      <c r="B979" s="19"/>
      <c r="C979" s="19"/>
    </row>
    <row r="980">
      <c r="B980" s="19"/>
      <c r="C980" s="19"/>
    </row>
    <row r="981">
      <c r="B981" s="19"/>
      <c r="C981" s="19"/>
    </row>
    <row r="982">
      <c r="B982" s="19"/>
      <c r="C982" s="19"/>
    </row>
    <row r="983">
      <c r="B983" s="19"/>
      <c r="C983" s="19"/>
    </row>
    <row r="984">
      <c r="B984" s="19"/>
      <c r="C984" s="19"/>
    </row>
    <row r="985">
      <c r="B985" s="19"/>
      <c r="C985" s="19"/>
    </row>
    <row r="986">
      <c r="B986" s="19"/>
      <c r="C986" s="19"/>
    </row>
    <row r="987">
      <c r="B987" s="19"/>
      <c r="C987" s="19"/>
    </row>
    <row r="988">
      <c r="B988" s="19"/>
      <c r="C988" s="19"/>
    </row>
    <row r="989">
      <c r="B989" s="19"/>
      <c r="C989" s="19"/>
    </row>
    <row r="990">
      <c r="B990" s="19"/>
      <c r="C990" s="19"/>
    </row>
    <row r="991">
      <c r="B991" s="19"/>
      <c r="C991" s="19"/>
    </row>
    <row r="992">
      <c r="B992" s="19"/>
      <c r="C992" s="19"/>
    </row>
    <row r="993">
      <c r="B993" s="19"/>
      <c r="C993" s="19"/>
    </row>
    <row r="994">
      <c r="B994" s="19"/>
      <c r="C994" s="19"/>
    </row>
    <row r="995">
      <c r="B995" s="19"/>
      <c r="C995" s="19"/>
    </row>
    <row r="996">
      <c r="B996" s="19"/>
      <c r="C996" s="19"/>
    </row>
    <row r="997">
      <c r="B997" s="19"/>
      <c r="C997" s="19"/>
    </row>
    <row r="998">
      <c r="B998" s="19"/>
      <c r="C998" s="19"/>
    </row>
    <row r="999">
      <c r="B999" s="19"/>
      <c r="C999" s="19"/>
    </row>
  </sheetData>
  <hyperlinks>
    <hyperlink r:id="rId1" ref="C2"/>
    <hyperlink r:id="rId2" ref="B3"/>
    <hyperlink r:id="rId3" ref="B4"/>
    <hyperlink r:id="rId4" ref="C5"/>
    <hyperlink r:id="rId5" ref="C7"/>
    <hyperlink r:id="rId6" ref="C8"/>
    <hyperlink r:id="rId7" ref="C9"/>
    <hyperlink r:id="rId8" ref="C10"/>
    <hyperlink r:id="rId9" ref="B11"/>
    <hyperlink r:id="rId10" ref="C12"/>
    <hyperlink r:id="rId11" ref="B13"/>
    <hyperlink r:id="rId12" ref="C13"/>
    <hyperlink r:id="rId13" ref="B14"/>
    <hyperlink r:id="rId14" ref="C14"/>
    <hyperlink r:id="rId15" ref="B15"/>
    <hyperlink r:id="rId16" location="customerReviews" ref="B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B24"/>
    <hyperlink r:id="rId25" ref="C24"/>
    <hyperlink r:id="rId26" ref="C25"/>
    <hyperlink r:id="rId27" ref="C26"/>
    <hyperlink r:id="rId28" ref="B27"/>
    <hyperlink r:id="rId29" ref="C27"/>
    <hyperlink r:id="rId30" ref="B28"/>
    <hyperlink r:id="rId31" ref="C29"/>
    <hyperlink r:id="rId32" ref="B30"/>
    <hyperlink r:id="rId33" ref="C30"/>
    <hyperlink r:id="rId34" ref="B31"/>
    <hyperlink r:id="rId35" ref="C32"/>
    <hyperlink r:id="rId36" ref="C33"/>
  </hyperlinks>
  <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39.25"/>
    <col customWidth="1" min="3" max="3" width="8.0"/>
    <col customWidth="1" min="4" max="4" width="17.5"/>
    <col customWidth="1" min="5" max="5" width="9.88"/>
    <col customWidth="1" min="11" max="11" width="24.88"/>
    <col customWidth="1" min="12" max="12" width="15.25"/>
    <col customWidth="1" min="15" max="15" width="18.38"/>
    <col customWidth="1" min="16" max="16" width="9.5"/>
    <col customWidth="1" min="17" max="17" width="36.5"/>
    <col customWidth="1" min="18" max="18" width="16.63"/>
    <col customWidth="1" min="20" max="20" width="28.88"/>
  </cols>
  <sheetData>
    <row r="1">
      <c r="A1" s="28" t="s">
        <v>143</v>
      </c>
      <c r="B1" s="28" t="s">
        <v>144</v>
      </c>
      <c r="C1" s="28" t="s">
        <v>33</v>
      </c>
      <c r="D1" s="29" t="s">
        <v>145</v>
      </c>
      <c r="E1" s="28" t="s">
        <v>146</v>
      </c>
      <c r="F1" s="30"/>
      <c r="H1" s="28" t="s">
        <v>147</v>
      </c>
      <c r="I1" s="28">
        <v>300.0</v>
      </c>
      <c r="J1" s="30"/>
      <c r="K1" s="28" t="s">
        <v>148</v>
      </c>
      <c r="L1" s="30"/>
      <c r="M1" s="31"/>
      <c r="N1" s="30"/>
      <c r="O1" s="30"/>
      <c r="P1" s="30"/>
      <c r="Q1" s="32"/>
      <c r="R1" s="30"/>
      <c r="S1" s="30"/>
      <c r="T1" s="30"/>
      <c r="U1" s="30"/>
      <c r="V1" s="30"/>
      <c r="W1" s="30"/>
      <c r="X1" s="33"/>
      <c r="Y1" s="33"/>
      <c r="Z1" s="33"/>
      <c r="AA1" s="28" t="s">
        <v>149</v>
      </c>
      <c r="AB1" s="28" t="s">
        <v>150</v>
      </c>
      <c r="AC1" s="28" t="s">
        <v>151</v>
      </c>
      <c r="AD1" s="34" t="s">
        <v>152</v>
      </c>
      <c r="AE1" s="34" t="s">
        <v>153</v>
      </c>
      <c r="AF1" s="34" t="s">
        <v>154</v>
      </c>
    </row>
    <row r="2">
      <c r="A2" s="6">
        <v>1.0</v>
      </c>
      <c r="B2" s="35" t="s">
        <v>155</v>
      </c>
      <c r="C2" s="35">
        <v>5.0</v>
      </c>
      <c r="D2" s="36">
        <v>600.0</v>
      </c>
      <c r="E2" s="35">
        <v>3.0</v>
      </c>
      <c r="H2" s="37" t="s">
        <v>156</v>
      </c>
      <c r="I2" s="37">
        <v>680.0</v>
      </c>
      <c r="J2" s="38"/>
      <c r="K2" s="28" t="s">
        <v>157</v>
      </c>
      <c r="L2" s="28" t="s">
        <v>158</v>
      </c>
      <c r="M2" s="12"/>
      <c r="Q2" s="39"/>
      <c r="X2" s="40"/>
      <c r="Y2" s="40"/>
      <c r="Z2" s="40" t="s">
        <v>159</v>
      </c>
      <c r="AD2" s="41">
        <v>4.0</v>
      </c>
      <c r="AE2" s="41">
        <v>8.0</v>
      </c>
      <c r="AF2" s="41">
        <v>8.0</v>
      </c>
    </row>
    <row r="3">
      <c r="A3" s="6">
        <v>2.0</v>
      </c>
      <c r="B3" s="35" t="s">
        <v>160</v>
      </c>
      <c r="C3" s="35">
        <v>5.0</v>
      </c>
      <c r="D3" s="36">
        <v>600.0</v>
      </c>
      <c r="E3" s="35">
        <v>3.0</v>
      </c>
      <c r="H3" s="37" t="s">
        <v>161</v>
      </c>
      <c r="I3" s="37">
        <v>720.0</v>
      </c>
      <c r="K3" s="42" t="s">
        <v>162</v>
      </c>
      <c r="L3" s="6" t="s">
        <v>163</v>
      </c>
      <c r="M3" s="12"/>
      <c r="Q3" s="39"/>
      <c r="X3" s="40"/>
      <c r="Y3" s="40"/>
      <c r="Z3" s="40" t="s">
        <v>164</v>
      </c>
      <c r="AD3" s="43"/>
      <c r="AE3" s="43"/>
      <c r="AF3" s="41">
        <v>4.0</v>
      </c>
    </row>
    <row r="4">
      <c r="A4" s="6">
        <v>3.0</v>
      </c>
      <c r="B4" s="35" t="s">
        <v>165</v>
      </c>
      <c r="C4" s="35">
        <v>1.0</v>
      </c>
      <c r="D4" s="36">
        <v>3000.0</v>
      </c>
      <c r="E4" s="35">
        <v>3.0</v>
      </c>
      <c r="H4" s="37" t="s">
        <v>166</v>
      </c>
      <c r="I4" s="37">
        <v>800.0</v>
      </c>
      <c r="J4" s="38"/>
      <c r="K4" s="6" t="s">
        <v>167</v>
      </c>
      <c r="L4" s="41" t="s">
        <v>168</v>
      </c>
      <c r="M4" s="12"/>
      <c r="U4" s="41"/>
      <c r="X4" s="44"/>
      <c r="Y4" s="44"/>
      <c r="Z4" s="44"/>
      <c r="AD4" s="43"/>
      <c r="AE4" s="43"/>
      <c r="AF4" s="43"/>
    </row>
    <row r="5">
      <c r="A5" s="6">
        <v>4.0</v>
      </c>
      <c r="B5" s="35" t="s">
        <v>169</v>
      </c>
      <c r="C5" s="35">
        <v>4.0</v>
      </c>
      <c r="D5" s="36">
        <v>600.0</v>
      </c>
      <c r="E5" s="35">
        <v>2.0</v>
      </c>
      <c r="H5" s="45" t="s">
        <v>170</v>
      </c>
      <c r="I5" s="46">
        <v>2750.0</v>
      </c>
      <c r="J5" s="38"/>
      <c r="K5" s="6" t="s">
        <v>171</v>
      </c>
      <c r="L5" s="41" t="s">
        <v>172</v>
      </c>
      <c r="M5" s="12"/>
      <c r="R5" s="38"/>
      <c r="S5" s="38"/>
      <c r="U5" s="41"/>
      <c r="X5" s="40"/>
      <c r="Y5" s="40"/>
      <c r="Z5" s="40" t="s">
        <v>173</v>
      </c>
      <c r="AA5" s="6">
        <v>2.0</v>
      </c>
      <c r="AB5" s="6">
        <v>2.0</v>
      </c>
      <c r="AC5" s="6">
        <v>2.0</v>
      </c>
      <c r="AD5" s="43"/>
      <c r="AE5" s="41">
        <v>4.0</v>
      </c>
      <c r="AF5" s="43"/>
    </row>
    <row r="6">
      <c r="A6" s="6">
        <v>5.0</v>
      </c>
      <c r="B6" s="35" t="s">
        <v>174</v>
      </c>
      <c r="C6" s="35">
        <v>4.0</v>
      </c>
      <c r="D6" s="36">
        <v>1000.0</v>
      </c>
      <c r="E6" s="35">
        <v>3.0</v>
      </c>
      <c r="H6" s="37" t="s">
        <v>175</v>
      </c>
      <c r="I6" s="37">
        <v>200.0</v>
      </c>
      <c r="J6" s="38"/>
      <c r="K6" s="6" t="s">
        <v>176</v>
      </c>
      <c r="L6" s="41" t="s">
        <v>177</v>
      </c>
      <c r="M6" s="12"/>
      <c r="S6" s="38"/>
      <c r="U6" s="41"/>
      <c r="X6" s="34"/>
      <c r="Y6" s="34"/>
      <c r="Z6" s="34" t="s">
        <v>178</v>
      </c>
      <c r="AA6" s="43"/>
      <c r="AB6" s="43"/>
      <c r="AC6" s="41">
        <v>4.0</v>
      </c>
      <c r="AD6" s="43"/>
    </row>
    <row r="7">
      <c r="A7" s="6">
        <v>6.0</v>
      </c>
      <c r="B7" s="35" t="s">
        <v>179</v>
      </c>
      <c r="C7" s="35">
        <v>2.0</v>
      </c>
      <c r="D7" s="36">
        <v>3000.0</v>
      </c>
      <c r="H7" s="37" t="s">
        <v>180</v>
      </c>
      <c r="I7" s="37">
        <v>212.0</v>
      </c>
      <c r="J7" s="38"/>
      <c r="K7" s="6" t="s">
        <v>181</v>
      </c>
      <c r="L7" s="41" t="s">
        <v>181</v>
      </c>
      <c r="M7" s="12"/>
      <c r="U7" s="41"/>
      <c r="X7" s="40"/>
      <c r="Y7" s="40"/>
      <c r="Z7" s="40" t="s">
        <v>182</v>
      </c>
      <c r="AA7" s="43"/>
      <c r="AB7" s="41">
        <v>3.0</v>
      </c>
      <c r="AC7" s="43"/>
      <c r="AD7" s="43"/>
    </row>
    <row r="8">
      <c r="A8" s="6">
        <v>7.0</v>
      </c>
      <c r="B8" s="35" t="s">
        <v>183</v>
      </c>
      <c r="C8" s="35">
        <v>1.0</v>
      </c>
      <c r="D8" s="36">
        <v>3000.0</v>
      </c>
      <c r="E8" s="35">
        <v>1.0</v>
      </c>
      <c r="K8" s="6" t="s">
        <v>184</v>
      </c>
      <c r="M8" s="19"/>
      <c r="R8" s="38"/>
      <c r="U8" s="41"/>
      <c r="X8" s="40"/>
      <c r="Y8" s="40"/>
      <c r="Z8" s="40" t="s">
        <v>185</v>
      </c>
      <c r="AA8" s="43"/>
      <c r="AB8" s="41">
        <v>5.0</v>
      </c>
      <c r="AC8" s="43"/>
      <c r="AD8" s="43"/>
    </row>
    <row r="9">
      <c r="A9" s="6">
        <v>8.0</v>
      </c>
      <c r="B9" s="6" t="s">
        <v>186</v>
      </c>
      <c r="C9" s="6">
        <v>100.0</v>
      </c>
      <c r="D9" s="47" t="s">
        <v>187</v>
      </c>
      <c r="E9" s="6">
        <v>4.0</v>
      </c>
      <c r="H9" s="37" t="s">
        <v>188</v>
      </c>
      <c r="I9" s="37"/>
      <c r="M9" s="19"/>
      <c r="R9" s="38"/>
      <c r="X9" s="44"/>
      <c r="Y9" s="44"/>
      <c r="Z9" s="44"/>
      <c r="AA9" s="43"/>
      <c r="AB9" s="43"/>
      <c r="AC9" s="43"/>
      <c r="AD9" s="43"/>
    </row>
    <row r="10">
      <c r="A10" s="6">
        <v>10.0</v>
      </c>
      <c r="B10" s="6" t="s">
        <v>189</v>
      </c>
      <c r="C10" s="6">
        <v>1.0</v>
      </c>
      <c r="D10" s="47">
        <v>1444.0</v>
      </c>
      <c r="E10" s="6">
        <v>2.0</v>
      </c>
      <c r="M10" s="19"/>
      <c r="R10" s="38"/>
      <c r="T10" s="41"/>
      <c r="X10" s="33"/>
      <c r="Y10" s="33"/>
      <c r="Z10" s="33"/>
      <c r="AA10" s="34" t="s">
        <v>190</v>
      </c>
      <c r="AB10" s="43"/>
      <c r="AC10" s="43"/>
      <c r="AD10" s="43"/>
    </row>
    <row r="11">
      <c r="A11" s="6">
        <v>11.0</v>
      </c>
      <c r="B11" s="6" t="s">
        <v>191</v>
      </c>
      <c r="C11" s="6">
        <v>2.0</v>
      </c>
      <c r="D11" s="47">
        <v>526.0</v>
      </c>
      <c r="E11" s="6">
        <v>3.0</v>
      </c>
      <c r="G11" s="37"/>
      <c r="H11" s="48"/>
      <c r="I11" s="37"/>
      <c r="M11" s="19"/>
      <c r="R11" s="38"/>
      <c r="X11" s="40"/>
      <c r="Y11" s="40"/>
      <c r="Z11" s="40" t="s">
        <v>192</v>
      </c>
      <c r="AA11" s="41">
        <v>4.0</v>
      </c>
      <c r="AB11" s="43"/>
      <c r="AC11" s="43"/>
      <c r="AD11" s="43"/>
    </row>
    <row r="12">
      <c r="A12" s="6">
        <v>12.0</v>
      </c>
      <c r="B12" s="6" t="s">
        <v>193</v>
      </c>
      <c r="C12" s="6"/>
      <c r="D12" s="47">
        <v>169.0</v>
      </c>
      <c r="E12" s="6"/>
      <c r="M12" s="39"/>
      <c r="R12" s="38"/>
    </row>
    <row r="13">
      <c r="A13" s="6">
        <v>13.0</v>
      </c>
      <c r="B13" s="6" t="s">
        <v>194</v>
      </c>
      <c r="C13" s="6">
        <v>2.0</v>
      </c>
      <c r="D13" s="47" t="s">
        <v>195</v>
      </c>
      <c r="E13" s="6">
        <v>2.0</v>
      </c>
      <c r="M13" s="39"/>
      <c r="R13" s="38"/>
    </row>
    <row r="14">
      <c r="A14" s="6">
        <v>14.0</v>
      </c>
      <c r="B14" s="6" t="s">
        <v>196</v>
      </c>
      <c r="C14" s="6">
        <v>1.0</v>
      </c>
      <c r="D14" s="47" t="s">
        <v>197</v>
      </c>
      <c r="E14" s="6">
        <v>1.0</v>
      </c>
      <c r="M14" s="39"/>
    </row>
    <row r="15">
      <c r="A15" s="6">
        <v>15.0</v>
      </c>
      <c r="B15" s="6" t="s">
        <v>198</v>
      </c>
      <c r="C15" s="6">
        <v>3.0</v>
      </c>
      <c r="D15" s="47" t="s">
        <v>199</v>
      </c>
      <c r="E15" s="6">
        <v>1.0</v>
      </c>
      <c r="M15" s="39"/>
    </row>
    <row r="16">
      <c r="A16" s="6">
        <v>16.0</v>
      </c>
      <c r="B16" s="6" t="s">
        <v>200</v>
      </c>
      <c r="C16" s="6">
        <v>1.0</v>
      </c>
      <c r="D16" s="6" t="s">
        <v>201</v>
      </c>
      <c r="E16" s="6">
        <v>1.0</v>
      </c>
      <c r="M16" s="39"/>
    </row>
    <row r="17">
      <c r="A17" s="6">
        <v>17.0</v>
      </c>
      <c r="B17" s="6" t="s">
        <v>202</v>
      </c>
      <c r="C17" s="6">
        <v>1.0</v>
      </c>
      <c r="D17" s="6" t="s">
        <v>203</v>
      </c>
      <c r="E17" s="6">
        <v>2.0</v>
      </c>
      <c r="M17" s="39"/>
    </row>
    <row r="18">
      <c r="A18" s="6">
        <v>18.0</v>
      </c>
      <c r="B18" s="6" t="s">
        <v>204</v>
      </c>
      <c r="C18" s="6">
        <v>1.0</v>
      </c>
      <c r="E18" s="6">
        <v>1.0</v>
      </c>
      <c r="I18" s="49"/>
      <c r="J18" s="34"/>
      <c r="M18" s="39"/>
    </row>
    <row r="19">
      <c r="A19" s="6">
        <v>19.0</v>
      </c>
      <c r="B19" s="6" t="s">
        <v>205</v>
      </c>
      <c r="C19" s="6">
        <v>1.0</v>
      </c>
      <c r="D19" s="6">
        <v>2500.0</v>
      </c>
      <c r="K19" s="6" t="s">
        <v>206</v>
      </c>
      <c r="M19" s="39"/>
    </row>
    <row r="20">
      <c r="A20" s="6">
        <v>20.0</v>
      </c>
      <c r="B20" s="6" t="s">
        <v>207</v>
      </c>
      <c r="D20" s="47">
        <v>518.0</v>
      </c>
      <c r="M20" s="39"/>
    </row>
    <row r="21">
      <c r="A21" s="6">
        <v>21.0</v>
      </c>
      <c r="K21" s="7" t="s">
        <v>208</v>
      </c>
      <c r="M21" s="39"/>
    </row>
    <row r="22">
      <c r="A22" s="6">
        <v>22.0</v>
      </c>
      <c r="K22" s="7" t="s">
        <v>209</v>
      </c>
      <c r="M22" s="39"/>
      <c r="AE22" s="34"/>
      <c r="AF22" s="34"/>
    </row>
    <row r="23">
      <c r="A23" s="6">
        <v>23.0</v>
      </c>
      <c r="D23" s="50"/>
      <c r="K23" s="7" t="s">
        <v>210</v>
      </c>
      <c r="M23" s="39"/>
      <c r="AE23" s="41"/>
      <c r="AF23" s="41"/>
    </row>
    <row r="24">
      <c r="A24" s="6">
        <v>24.0</v>
      </c>
      <c r="D24" s="50"/>
      <c r="K24" s="7" t="s">
        <v>211</v>
      </c>
      <c r="M24" s="39"/>
      <c r="AE24" s="41"/>
      <c r="AF24" s="41"/>
    </row>
    <row r="25">
      <c r="A25" s="6">
        <v>25.0</v>
      </c>
      <c r="D25" s="50"/>
      <c r="K25" s="7" t="s">
        <v>212</v>
      </c>
      <c r="M25" s="39"/>
      <c r="AE25" s="43"/>
      <c r="AF25" s="43"/>
    </row>
    <row r="26">
      <c r="A26" s="6">
        <v>26.0</v>
      </c>
      <c r="D26" s="50"/>
      <c r="M26" s="39"/>
      <c r="AE26" s="43"/>
      <c r="AF26" s="43"/>
    </row>
    <row r="27">
      <c r="A27" s="6">
        <v>27.0</v>
      </c>
      <c r="D27" s="50"/>
      <c r="M27" s="39"/>
    </row>
    <row r="28">
      <c r="A28" s="6">
        <v>28.0</v>
      </c>
      <c r="D28" s="50"/>
      <c r="M28" s="39"/>
    </row>
    <row r="29">
      <c r="A29" s="6">
        <v>29.0</v>
      </c>
      <c r="D29" s="50"/>
      <c r="M29" s="39"/>
    </row>
    <row r="30">
      <c r="A30" s="6">
        <v>30.0</v>
      </c>
      <c r="D30" s="50"/>
      <c r="M30" s="39"/>
    </row>
    <row r="31">
      <c r="A31" s="6">
        <v>31.0</v>
      </c>
      <c r="D31" s="50"/>
      <c r="M31" s="39"/>
    </row>
    <row r="32">
      <c r="A32" s="6">
        <v>32.0</v>
      </c>
      <c r="D32" s="50">
        <f>sum(D10:D30)</f>
        <v>5157</v>
      </c>
      <c r="M32" s="39"/>
    </row>
    <row r="33">
      <c r="A33" s="6">
        <v>33.0</v>
      </c>
      <c r="D33" s="50"/>
    </row>
    <row r="34">
      <c r="D34" s="50"/>
    </row>
    <row r="35">
      <c r="D35" s="50"/>
    </row>
    <row r="36">
      <c r="D36" s="50"/>
      <c r="Q36" s="39"/>
    </row>
    <row r="37">
      <c r="D37" s="50"/>
      <c r="Q37" s="39"/>
    </row>
    <row r="38">
      <c r="Q38" s="39"/>
    </row>
    <row r="39">
      <c r="Q39" s="39"/>
    </row>
    <row r="40">
      <c r="Q40" s="39"/>
    </row>
    <row r="41">
      <c r="Q41" s="39"/>
    </row>
    <row r="42">
      <c r="Q42" s="39"/>
    </row>
    <row r="43">
      <c r="Q43" s="39"/>
    </row>
    <row r="44">
      <c r="Q44" s="39"/>
    </row>
    <row r="45">
      <c r="Q45" s="39"/>
    </row>
    <row r="46">
      <c r="Q46" s="39"/>
    </row>
    <row r="47">
      <c r="Q47" s="39"/>
    </row>
    <row r="48">
      <c r="Q48" s="39"/>
    </row>
    <row r="49">
      <c r="D49" s="44"/>
      <c r="E49" s="43"/>
      <c r="F49" s="43"/>
      <c r="Q49" s="39"/>
    </row>
    <row r="50">
      <c r="F50" s="43"/>
      <c r="G50" s="43"/>
      <c r="H50" s="43"/>
      <c r="Q50" s="39"/>
    </row>
    <row r="51">
      <c r="F51" s="43"/>
      <c r="G51" s="43"/>
      <c r="H51" s="43"/>
      <c r="Q51" s="39"/>
    </row>
    <row r="52">
      <c r="D52" s="51"/>
      <c r="E52" s="43"/>
      <c r="F52" s="43"/>
      <c r="G52" s="43"/>
      <c r="H52" s="43"/>
      <c r="Q52" s="39"/>
    </row>
    <row r="53">
      <c r="D53" s="51"/>
      <c r="E53" s="43"/>
      <c r="F53" s="43"/>
      <c r="G53" s="43"/>
      <c r="H53" s="43"/>
      <c r="Q53" s="39"/>
    </row>
    <row r="54">
      <c r="D54" s="50"/>
      <c r="G54" s="43"/>
      <c r="H54" s="43"/>
      <c r="Q54" s="39"/>
    </row>
    <row r="55">
      <c r="D55" s="50"/>
      <c r="Q55" s="39"/>
    </row>
    <row r="56">
      <c r="D56" s="50"/>
      <c r="Q56" s="39"/>
    </row>
    <row r="57">
      <c r="D57" s="50"/>
      <c r="Q57" s="39"/>
    </row>
    <row r="58">
      <c r="D58" s="50"/>
      <c r="Q58" s="39"/>
    </row>
    <row r="59">
      <c r="D59" s="50"/>
      <c r="Q59" s="39"/>
    </row>
    <row r="60">
      <c r="D60" s="50"/>
      <c r="Q60" s="39"/>
    </row>
    <row r="61">
      <c r="D61" s="50"/>
      <c r="Q61" s="39"/>
    </row>
    <row r="62">
      <c r="D62" s="50"/>
      <c r="Q62" s="39"/>
    </row>
    <row r="63">
      <c r="D63" s="50"/>
      <c r="Q63" s="39"/>
    </row>
    <row r="64">
      <c r="D64" s="50"/>
      <c r="Q64" s="39"/>
    </row>
    <row r="65">
      <c r="D65" s="50"/>
      <c r="Q65" s="39"/>
    </row>
    <row r="66">
      <c r="D66" s="50"/>
      <c r="Q66" s="39"/>
    </row>
    <row r="67">
      <c r="D67" s="50"/>
      <c r="Q67" s="39"/>
    </row>
    <row r="68">
      <c r="D68" s="50"/>
      <c r="Q68" s="39"/>
    </row>
    <row r="69">
      <c r="D69" s="50"/>
      <c r="Q69" s="39"/>
    </row>
    <row r="70">
      <c r="D70" s="50"/>
      <c r="Q70" s="39"/>
    </row>
    <row r="71">
      <c r="D71" s="50"/>
      <c r="Q71" s="39"/>
    </row>
    <row r="72">
      <c r="D72" s="50"/>
      <c r="Q72" s="39"/>
    </row>
    <row r="73">
      <c r="D73" s="50"/>
      <c r="Q73" s="39"/>
    </row>
    <row r="74">
      <c r="D74" s="50"/>
      <c r="Q74" s="39"/>
    </row>
    <row r="75">
      <c r="D75" s="50"/>
      <c r="Q75" s="39"/>
    </row>
    <row r="76">
      <c r="D76" s="50"/>
      <c r="Q76" s="39"/>
    </row>
    <row r="77">
      <c r="D77" s="50"/>
      <c r="Q77" s="39"/>
    </row>
    <row r="78">
      <c r="D78" s="50"/>
      <c r="Q78" s="39"/>
    </row>
    <row r="79">
      <c r="D79" s="50"/>
      <c r="Q79" s="39"/>
    </row>
    <row r="80">
      <c r="D80" s="50"/>
      <c r="Q80" s="39"/>
    </row>
    <row r="81">
      <c r="D81" s="50"/>
      <c r="Q81" s="39"/>
    </row>
    <row r="82">
      <c r="D82" s="50"/>
      <c r="Q82" s="39"/>
    </row>
    <row r="83">
      <c r="D83" s="50"/>
      <c r="Q83" s="39"/>
    </row>
    <row r="84">
      <c r="D84" s="50"/>
      <c r="Q84" s="39"/>
    </row>
    <row r="85">
      <c r="D85" s="50"/>
      <c r="Q85" s="39"/>
    </row>
    <row r="86">
      <c r="D86" s="50"/>
      <c r="Q86" s="39"/>
    </row>
    <row r="87">
      <c r="D87" s="50"/>
      <c r="Q87" s="39"/>
    </row>
    <row r="88">
      <c r="D88" s="50"/>
      <c r="Q88" s="39"/>
    </row>
    <row r="89">
      <c r="D89" s="50"/>
      <c r="Q89" s="39"/>
    </row>
    <row r="90">
      <c r="D90" s="50"/>
      <c r="Q90" s="39"/>
    </row>
    <row r="91">
      <c r="D91" s="50"/>
      <c r="Q91" s="39"/>
    </row>
    <row r="92">
      <c r="D92" s="50"/>
      <c r="Q92" s="39"/>
    </row>
    <row r="93">
      <c r="D93" s="50"/>
      <c r="Q93" s="39"/>
    </row>
    <row r="94">
      <c r="D94" s="50"/>
      <c r="Q94" s="39"/>
    </row>
    <row r="95">
      <c r="D95" s="50"/>
      <c r="Q95" s="39"/>
    </row>
    <row r="96">
      <c r="D96" s="50"/>
      <c r="Q96" s="39"/>
    </row>
    <row r="97">
      <c r="D97" s="50"/>
      <c r="Q97" s="39"/>
    </row>
    <row r="98">
      <c r="D98" s="50"/>
      <c r="Q98" s="39"/>
    </row>
    <row r="99">
      <c r="D99" s="50"/>
      <c r="Q99" s="39"/>
    </row>
    <row r="100">
      <c r="D100" s="50"/>
      <c r="Q100" s="39"/>
    </row>
    <row r="101">
      <c r="D101" s="50"/>
      <c r="Q101" s="39"/>
    </row>
    <row r="102">
      <c r="D102" s="50"/>
      <c r="Q102" s="39"/>
    </row>
    <row r="103">
      <c r="D103" s="50"/>
      <c r="Q103" s="39"/>
    </row>
    <row r="104">
      <c r="D104" s="50"/>
      <c r="Q104" s="39"/>
    </row>
    <row r="105">
      <c r="D105" s="50"/>
      <c r="Q105" s="39"/>
    </row>
    <row r="106">
      <c r="D106" s="50"/>
      <c r="Q106" s="39"/>
    </row>
    <row r="107">
      <c r="D107" s="50"/>
      <c r="Q107" s="39"/>
    </row>
    <row r="108">
      <c r="D108" s="50"/>
      <c r="Q108" s="39"/>
    </row>
    <row r="109">
      <c r="D109" s="50"/>
      <c r="Q109" s="39"/>
    </row>
    <row r="110">
      <c r="D110" s="50"/>
      <c r="Q110" s="39"/>
    </row>
    <row r="111">
      <c r="D111" s="50"/>
      <c r="Q111" s="39"/>
    </row>
    <row r="112">
      <c r="D112" s="50"/>
      <c r="Q112" s="39"/>
    </row>
    <row r="113">
      <c r="D113" s="50"/>
      <c r="Q113" s="39"/>
    </row>
    <row r="114">
      <c r="D114" s="50"/>
      <c r="Q114" s="39"/>
    </row>
    <row r="115">
      <c r="D115" s="50"/>
      <c r="Q115" s="39"/>
    </row>
    <row r="116">
      <c r="D116" s="50"/>
      <c r="Q116" s="39"/>
    </row>
    <row r="117">
      <c r="D117" s="50"/>
      <c r="Q117" s="39"/>
    </row>
    <row r="118">
      <c r="D118" s="50"/>
      <c r="Q118" s="39"/>
    </row>
    <row r="119">
      <c r="D119" s="50"/>
      <c r="Q119" s="39"/>
    </row>
    <row r="120">
      <c r="D120" s="50"/>
      <c r="Q120" s="39"/>
    </row>
    <row r="121">
      <c r="D121" s="50"/>
      <c r="Q121" s="39"/>
    </row>
    <row r="122">
      <c r="D122" s="50"/>
      <c r="Q122" s="39"/>
    </row>
    <row r="123">
      <c r="D123" s="50"/>
      <c r="Q123" s="39"/>
    </row>
    <row r="124">
      <c r="D124" s="50"/>
      <c r="Q124" s="39"/>
    </row>
    <row r="125">
      <c r="D125" s="50"/>
      <c r="Q125" s="39"/>
    </row>
    <row r="126">
      <c r="D126" s="50"/>
      <c r="Q126" s="39"/>
    </row>
    <row r="127">
      <c r="D127" s="50"/>
      <c r="Q127" s="39"/>
    </row>
    <row r="128">
      <c r="D128" s="50"/>
      <c r="Q128" s="39"/>
    </row>
    <row r="129">
      <c r="D129" s="50"/>
      <c r="Q129" s="39"/>
    </row>
    <row r="130">
      <c r="D130" s="50"/>
      <c r="Q130" s="39"/>
    </row>
    <row r="131">
      <c r="D131" s="50"/>
      <c r="Q131" s="39"/>
    </row>
    <row r="132">
      <c r="D132" s="50"/>
      <c r="Q132" s="39"/>
    </row>
    <row r="133">
      <c r="D133" s="50"/>
      <c r="Q133" s="39"/>
    </row>
    <row r="134">
      <c r="D134" s="50"/>
      <c r="Q134" s="39"/>
    </row>
    <row r="135">
      <c r="D135" s="50"/>
      <c r="Q135" s="39"/>
    </row>
    <row r="136">
      <c r="D136" s="50"/>
      <c r="Q136" s="39"/>
    </row>
    <row r="137">
      <c r="D137" s="50"/>
      <c r="Q137" s="39"/>
    </row>
    <row r="138">
      <c r="D138" s="50"/>
      <c r="Q138" s="39"/>
    </row>
    <row r="139">
      <c r="D139" s="50"/>
      <c r="Q139" s="39"/>
    </row>
    <row r="140">
      <c r="D140" s="50"/>
      <c r="Q140" s="39"/>
    </row>
    <row r="141">
      <c r="D141" s="50"/>
      <c r="Q141" s="39"/>
    </row>
    <row r="142">
      <c r="D142" s="50"/>
      <c r="Q142" s="39"/>
    </row>
    <row r="143">
      <c r="D143" s="50"/>
      <c r="Q143" s="39"/>
    </row>
    <row r="144">
      <c r="D144" s="50"/>
      <c r="Q144" s="39"/>
    </row>
    <row r="145">
      <c r="D145" s="50"/>
      <c r="Q145" s="39"/>
    </row>
    <row r="146">
      <c r="D146" s="50"/>
      <c r="Q146" s="39"/>
    </row>
    <row r="147">
      <c r="D147" s="50"/>
      <c r="Q147" s="39"/>
    </row>
    <row r="148">
      <c r="D148" s="50"/>
      <c r="Q148" s="39"/>
    </row>
    <row r="149">
      <c r="D149" s="50"/>
      <c r="Q149" s="39"/>
    </row>
    <row r="150">
      <c r="D150" s="50"/>
      <c r="Q150" s="39"/>
    </row>
    <row r="151">
      <c r="D151" s="50"/>
      <c r="Q151" s="39"/>
    </row>
    <row r="152">
      <c r="D152" s="50"/>
      <c r="Q152" s="39"/>
    </row>
    <row r="153">
      <c r="D153" s="50"/>
      <c r="Q153" s="39"/>
    </row>
    <row r="154">
      <c r="D154" s="50"/>
      <c r="Q154" s="39"/>
    </row>
    <row r="155">
      <c r="D155" s="50"/>
      <c r="Q155" s="39"/>
    </row>
    <row r="156">
      <c r="D156" s="50"/>
      <c r="Q156" s="39"/>
    </row>
    <row r="157">
      <c r="D157" s="50"/>
      <c r="Q157" s="39"/>
    </row>
    <row r="158">
      <c r="D158" s="50"/>
      <c r="Q158" s="39"/>
    </row>
    <row r="159">
      <c r="D159" s="50"/>
      <c r="Q159" s="39"/>
    </row>
    <row r="160">
      <c r="D160" s="50"/>
      <c r="Q160" s="39"/>
    </row>
    <row r="161">
      <c r="D161" s="50"/>
      <c r="Q161" s="39"/>
    </row>
    <row r="162">
      <c r="D162" s="50"/>
      <c r="Q162" s="39"/>
    </row>
    <row r="163">
      <c r="D163" s="50"/>
      <c r="Q163" s="39"/>
    </row>
    <row r="164">
      <c r="D164" s="50"/>
      <c r="Q164" s="39"/>
    </row>
    <row r="165">
      <c r="D165" s="50"/>
      <c r="Q165" s="39"/>
    </row>
    <row r="166">
      <c r="D166" s="50"/>
      <c r="Q166" s="39"/>
    </row>
    <row r="167">
      <c r="D167" s="50"/>
      <c r="Q167" s="39"/>
    </row>
    <row r="168">
      <c r="D168" s="50"/>
      <c r="Q168" s="39"/>
    </row>
    <row r="169">
      <c r="D169" s="50"/>
      <c r="Q169" s="39"/>
    </row>
    <row r="170">
      <c r="D170" s="50"/>
      <c r="Q170" s="39"/>
    </row>
    <row r="171">
      <c r="D171" s="50"/>
      <c r="Q171" s="39"/>
    </row>
    <row r="172">
      <c r="D172" s="50"/>
      <c r="Q172" s="39"/>
    </row>
    <row r="173">
      <c r="D173" s="50"/>
      <c r="Q173" s="39"/>
    </row>
    <row r="174">
      <c r="D174" s="50"/>
      <c r="Q174" s="39"/>
    </row>
    <row r="175">
      <c r="D175" s="50"/>
      <c r="Q175" s="39"/>
    </row>
    <row r="176">
      <c r="D176" s="50"/>
      <c r="Q176" s="39"/>
    </row>
    <row r="177">
      <c r="D177" s="50"/>
      <c r="Q177" s="39"/>
    </row>
    <row r="178">
      <c r="D178" s="50"/>
      <c r="Q178" s="39"/>
    </row>
    <row r="179">
      <c r="D179" s="50"/>
      <c r="Q179" s="39"/>
    </row>
    <row r="180">
      <c r="D180" s="50"/>
      <c r="Q180" s="39"/>
    </row>
    <row r="181">
      <c r="D181" s="50"/>
      <c r="Q181" s="39"/>
    </row>
    <row r="182">
      <c r="D182" s="50"/>
      <c r="Q182" s="39"/>
    </row>
    <row r="183">
      <c r="D183" s="50"/>
      <c r="Q183" s="39"/>
    </row>
    <row r="184">
      <c r="D184" s="50"/>
      <c r="Q184" s="39"/>
    </row>
    <row r="185">
      <c r="D185" s="50"/>
      <c r="Q185" s="39"/>
    </row>
    <row r="186">
      <c r="D186" s="50"/>
      <c r="Q186" s="39"/>
    </row>
    <row r="187">
      <c r="D187" s="50"/>
      <c r="Q187" s="39"/>
    </row>
    <row r="188">
      <c r="D188" s="50"/>
      <c r="Q188" s="39"/>
    </row>
    <row r="189">
      <c r="D189" s="50"/>
      <c r="Q189" s="39"/>
    </row>
    <row r="190">
      <c r="D190" s="50"/>
      <c r="Q190" s="39"/>
    </row>
    <row r="191">
      <c r="D191" s="50"/>
      <c r="Q191" s="39"/>
    </row>
    <row r="192">
      <c r="D192" s="50"/>
      <c r="Q192" s="39"/>
    </row>
    <row r="193">
      <c r="D193" s="50"/>
      <c r="Q193" s="39"/>
    </row>
    <row r="194">
      <c r="D194" s="50"/>
      <c r="Q194" s="39"/>
    </row>
    <row r="195">
      <c r="D195" s="50"/>
      <c r="Q195" s="39"/>
    </row>
    <row r="196">
      <c r="D196" s="50"/>
      <c r="Q196" s="39"/>
    </row>
    <row r="197">
      <c r="D197" s="50"/>
      <c r="Q197" s="39"/>
    </row>
    <row r="198">
      <c r="D198" s="50"/>
      <c r="Q198" s="39"/>
    </row>
    <row r="199">
      <c r="D199" s="50"/>
      <c r="Q199" s="39"/>
    </row>
    <row r="200">
      <c r="D200" s="50"/>
      <c r="Q200" s="39"/>
    </row>
    <row r="201">
      <c r="D201" s="50"/>
      <c r="Q201" s="39"/>
    </row>
    <row r="202">
      <c r="D202" s="50"/>
      <c r="Q202" s="39"/>
    </row>
    <row r="203">
      <c r="D203" s="50"/>
      <c r="Q203" s="39"/>
    </row>
    <row r="204">
      <c r="D204" s="50"/>
      <c r="Q204" s="39"/>
    </row>
    <row r="205">
      <c r="D205" s="50"/>
      <c r="Q205" s="39"/>
    </row>
    <row r="206">
      <c r="D206" s="50"/>
      <c r="Q206" s="39"/>
    </row>
    <row r="207">
      <c r="D207" s="50"/>
      <c r="Q207" s="39"/>
    </row>
    <row r="208">
      <c r="D208" s="50"/>
      <c r="Q208" s="39"/>
    </row>
    <row r="209">
      <c r="D209" s="50"/>
      <c r="Q209" s="39"/>
    </row>
    <row r="210">
      <c r="D210" s="50"/>
      <c r="Q210" s="39"/>
    </row>
    <row r="211">
      <c r="D211" s="50"/>
      <c r="Q211" s="39"/>
    </row>
    <row r="212">
      <c r="D212" s="50"/>
      <c r="Q212" s="39"/>
    </row>
    <row r="213">
      <c r="D213" s="50"/>
      <c r="Q213" s="39"/>
    </row>
    <row r="214">
      <c r="D214" s="50"/>
      <c r="Q214" s="39"/>
    </row>
    <row r="215">
      <c r="D215" s="50"/>
      <c r="Q215" s="39"/>
    </row>
    <row r="216">
      <c r="D216" s="50"/>
      <c r="Q216" s="39"/>
    </row>
    <row r="217">
      <c r="D217" s="50"/>
      <c r="Q217" s="39"/>
    </row>
    <row r="218">
      <c r="D218" s="50"/>
      <c r="Q218" s="39"/>
    </row>
    <row r="219">
      <c r="D219" s="50"/>
      <c r="Q219" s="39"/>
    </row>
    <row r="220">
      <c r="D220" s="50"/>
      <c r="Q220" s="39"/>
    </row>
    <row r="221">
      <c r="D221" s="50"/>
      <c r="Q221" s="39"/>
    </row>
    <row r="222">
      <c r="D222" s="50"/>
      <c r="Q222" s="39"/>
    </row>
    <row r="223">
      <c r="D223" s="50"/>
      <c r="Q223" s="39"/>
    </row>
    <row r="224">
      <c r="D224" s="50"/>
      <c r="Q224" s="39"/>
    </row>
    <row r="225">
      <c r="D225" s="50"/>
      <c r="Q225" s="39"/>
    </row>
    <row r="226">
      <c r="D226" s="50"/>
      <c r="Q226" s="39"/>
    </row>
    <row r="227">
      <c r="D227" s="50"/>
      <c r="Q227" s="39"/>
    </row>
    <row r="228">
      <c r="D228" s="50"/>
      <c r="Q228" s="39"/>
    </row>
    <row r="229">
      <c r="D229" s="50"/>
      <c r="Q229" s="39"/>
    </row>
    <row r="230">
      <c r="D230" s="50"/>
      <c r="Q230" s="39"/>
    </row>
    <row r="231">
      <c r="D231" s="50"/>
      <c r="Q231" s="39"/>
    </row>
    <row r="232">
      <c r="D232" s="50"/>
      <c r="Q232" s="39"/>
    </row>
    <row r="233">
      <c r="D233" s="50"/>
      <c r="Q233" s="39"/>
    </row>
    <row r="234">
      <c r="D234" s="50"/>
      <c r="Q234" s="39"/>
    </row>
    <row r="235">
      <c r="D235" s="50"/>
      <c r="Q235" s="39"/>
    </row>
    <row r="236">
      <c r="D236" s="50"/>
      <c r="Q236" s="39"/>
    </row>
    <row r="237">
      <c r="D237" s="50"/>
      <c r="Q237" s="39"/>
    </row>
    <row r="238">
      <c r="D238" s="50"/>
      <c r="Q238" s="39"/>
    </row>
    <row r="239">
      <c r="D239" s="50"/>
      <c r="Q239" s="39"/>
    </row>
    <row r="240">
      <c r="D240" s="50"/>
      <c r="Q240" s="39"/>
    </row>
    <row r="241">
      <c r="D241" s="50"/>
      <c r="Q241" s="39"/>
    </row>
    <row r="242">
      <c r="D242" s="50"/>
      <c r="Q242" s="39"/>
    </row>
    <row r="243">
      <c r="D243" s="50"/>
      <c r="Q243" s="39"/>
    </row>
    <row r="244">
      <c r="D244" s="50"/>
      <c r="Q244" s="39"/>
    </row>
    <row r="245">
      <c r="D245" s="50"/>
      <c r="Q245" s="39"/>
    </row>
    <row r="246">
      <c r="D246" s="50"/>
      <c r="Q246" s="39"/>
    </row>
    <row r="247">
      <c r="D247" s="50"/>
      <c r="Q247" s="39"/>
    </row>
    <row r="248">
      <c r="D248" s="50"/>
      <c r="Q248" s="39"/>
    </row>
    <row r="249">
      <c r="D249" s="50"/>
      <c r="Q249" s="39"/>
    </row>
    <row r="250">
      <c r="D250" s="50"/>
      <c r="Q250" s="39"/>
    </row>
    <row r="251">
      <c r="D251" s="50"/>
      <c r="Q251" s="39"/>
    </row>
    <row r="252">
      <c r="D252" s="50"/>
      <c r="Q252" s="39"/>
    </row>
    <row r="253">
      <c r="D253" s="50"/>
      <c r="Q253" s="39"/>
    </row>
    <row r="254">
      <c r="D254" s="50"/>
      <c r="Q254" s="39"/>
    </row>
    <row r="255">
      <c r="D255" s="50"/>
      <c r="Q255" s="39"/>
    </row>
    <row r="256">
      <c r="D256" s="50"/>
      <c r="Q256" s="39"/>
    </row>
    <row r="257">
      <c r="D257" s="50"/>
      <c r="Q257" s="39"/>
    </row>
    <row r="258">
      <c r="D258" s="50"/>
      <c r="Q258" s="39"/>
    </row>
    <row r="259">
      <c r="D259" s="50"/>
      <c r="Q259" s="39"/>
    </row>
    <row r="260">
      <c r="D260" s="50"/>
      <c r="Q260" s="39"/>
    </row>
    <row r="261">
      <c r="D261" s="50"/>
      <c r="Q261" s="39"/>
    </row>
    <row r="262">
      <c r="D262" s="50"/>
      <c r="Q262" s="39"/>
    </row>
    <row r="263">
      <c r="D263" s="50"/>
      <c r="Q263" s="39"/>
    </row>
    <row r="264">
      <c r="D264" s="50"/>
      <c r="Q264" s="39"/>
    </row>
    <row r="265">
      <c r="D265" s="50"/>
      <c r="Q265" s="39"/>
    </row>
    <row r="266">
      <c r="D266" s="50"/>
      <c r="Q266" s="39"/>
    </row>
    <row r="267">
      <c r="D267" s="50"/>
      <c r="Q267" s="39"/>
    </row>
    <row r="268">
      <c r="D268" s="50"/>
      <c r="Q268" s="39"/>
    </row>
    <row r="269">
      <c r="D269" s="50"/>
      <c r="Q269" s="39"/>
    </row>
    <row r="270">
      <c r="D270" s="50"/>
      <c r="Q270" s="39"/>
    </row>
    <row r="271">
      <c r="D271" s="50"/>
      <c r="Q271" s="39"/>
    </row>
    <row r="272">
      <c r="D272" s="50"/>
      <c r="Q272" s="39"/>
    </row>
    <row r="273">
      <c r="D273" s="50"/>
      <c r="Q273" s="39"/>
    </row>
    <row r="274">
      <c r="D274" s="50"/>
      <c r="Q274" s="39"/>
    </row>
    <row r="275">
      <c r="D275" s="50"/>
      <c r="Q275" s="39"/>
    </row>
    <row r="276">
      <c r="D276" s="50"/>
      <c r="Q276" s="39"/>
    </row>
    <row r="277">
      <c r="D277" s="50"/>
      <c r="Q277" s="39"/>
    </row>
    <row r="278">
      <c r="D278" s="50"/>
      <c r="Q278" s="39"/>
    </row>
    <row r="279">
      <c r="D279" s="50"/>
      <c r="Q279" s="39"/>
    </row>
    <row r="280">
      <c r="D280" s="50"/>
      <c r="Q280" s="39"/>
    </row>
    <row r="281">
      <c r="D281" s="50"/>
      <c r="Q281" s="39"/>
    </row>
    <row r="282">
      <c r="D282" s="50"/>
      <c r="Q282" s="39"/>
    </row>
    <row r="283">
      <c r="D283" s="50"/>
      <c r="Q283" s="39"/>
    </row>
    <row r="284">
      <c r="D284" s="50"/>
      <c r="Q284" s="39"/>
    </row>
    <row r="285">
      <c r="D285" s="50"/>
      <c r="Q285" s="39"/>
    </row>
    <row r="286">
      <c r="D286" s="50"/>
      <c r="Q286" s="39"/>
    </row>
    <row r="287">
      <c r="D287" s="50"/>
      <c r="Q287" s="39"/>
    </row>
    <row r="288">
      <c r="D288" s="50"/>
      <c r="Q288" s="39"/>
    </row>
    <row r="289">
      <c r="D289" s="50"/>
      <c r="Q289" s="39"/>
    </row>
    <row r="290">
      <c r="D290" s="50"/>
      <c r="Q290" s="39"/>
    </row>
    <row r="291">
      <c r="D291" s="50"/>
      <c r="Q291" s="39"/>
    </row>
    <row r="292">
      <c r="D292" s="50"/>
      <c r="Q292" s="39"/>
    </row>
    <row r="293">
      <c r="D293" s="50"/>
      <c r="Q293" s="39"/>
    </row>
    <row r="294">
      <c r="D294" s="50"/>
      <c r="Q294" s="39"/>
    </row>
    <row r="295">
      <c r="D295" s="50"/>
      <c r="Q295" s="39"/>
    </row>
    <row r="296">
      <c r="D296" s="50"/>
      <c r="Q296" s="39"/>
    </row>
    <row r="297">
      <c r="D297" s="50"/>
      <c r="Q297" s="39"/>
    </row>
    <row r="298">
      <c r="D298" s="50"/>
      <c r="Q298" s="39"/>
    </row>
    <row r="299">
      <c r="D299" s="50"/>
      <c r="Q299" s="39"/>
    </row>
    <row r="300">
      <c r="D300" s="50"/>
      <c r="Q300" s="39"/>
    </row>
    <row r="301">
      <c r="D301" s="50"/>
      <c r="Q301" s="39"/>
    </row>
    <row r="302">
      <c r="D302" s="50"/>
      <c r="Q302" s="39"/>
    </row>
    <row r="303">
      <c r="D303" s="50"/>
      <c r="Q303" s="39"/>
    </row>
    <row r="304">
      <c r="D304" s="50"/>
      <c r="Q304" s="39"/>
    </row>
    <row r="305">
      <c r="D305" s="50"/>
      <c r="Q305" s="39"/>
    </row>
    <row r="306">
      <c r="D306" s="50"/>
      <c r="Q306" s="39"/>
    </row>
    <row r="307">
      <c r="D307" s="50"/>
      <c r="Q307" s="39"/>
    </row>
    <row r="308">
      <c r="D308" s="50"/>
      <c r="Q308" s="39"/>
    </row>
    <row r="309">
      <c r="D309" s="50"/>
      <c r="Q309" s="39"/>
    </row>
    <row r="310">
      <c r="D310" s="50"/>
      <c r="Q310" s="39"/>
    </row>
    <row r="311">
      <c r="D311" s="50"/>
      <c r="Q311" s="39"/>
    </row>
    <row r="312">
      <c r="D312" s="50"/>
      <c r="Q312" s="39"/>
    </row>
    <row r="313">
      <c r="D313" s="50"/>
      <c r="Q313" s="39"/>
    </row>
    <row r="314">
      <c r="D314" s="50"/>
      <c r="Q314" s="39"/>
    </row>
    <row r="315">
      <c r="D315" s="50"/>
      <c r="Q315" s="39"/>
    </row>
    <row r="316">
      <c r="D316" s="50"/>
      <c r="Q316" s="39"/>
    </row>
    <row r="317">
      <c r="D317" s="50"/>
      <c r="Q317" s="39"/>
    </row>
    <row r="318">
      <c r="D318" s="50"/>
      <c r="Q318" s="39"/>
    </row>
    <row r="319">
      <c r="D319" s="50"/>
      <c r="Q319" s="39"/>
    </row>
    <row r="320">
      <c r="D320" s="50"/>
      <c r="Q320" s="39"/>
    </row>
    <row r="321">
      <c r="D321" s="50"/>
      <c r="Q321" s="39"/>
    </row>
    <row r="322">
      <c r="D322" s="50"/>
      <c r="Q322" s="39"/>
    </row>
    <row r="323">
      <c r="D323" s="50"/>
      <c r="Q323" s="39"/>
    </row>
    <row r="324">
      <c r="D324" s="50"/>
      <c r="Q324" s="39"/>
    </row>
    <row r="325">
      <c r="D325" s="50"/>
      <c r="Q325" s="39"/>
    </row>
    <row r="326">
      <c r="D326" s="50"/>
      <c r="Q326" s="39"/>
    </row>
    <row r="327">
      <c r="D327" s="50"/>
      <c r="Q327" s="39"/>
    </row>
    <row r="328">
      <c r="D328" s="50"/>
      <c r="Q328" s="39"/>
    </row>
    <row r="329">
      <c r="D329" s="50"/>
      <c r="Q329" s="39"/>
    </row>
    <row r="330">
      <c r="D330" s="50"/>
      <c r="Q330" s="39"/>
    </row>
    <row r="331">
      <c r="D331" s="50"/>
      <c r="Q331" s="39"/>
    </row>
    <row r="332">
      <c r="D332" s="50"/>
      <c r="Q332" s="39"/>
    </row>
    <row r="333">
      <c r="D333" s="50"/>
      <c r="Q333" s="39"/>
    </row>
    <row r="334">
      <c r="D334" s="50"/>
      <c r="Q334" s="39"/>
    </row>
    <row r="335">
      <c r="D335" s="50"/>
      <c r="Q335" s="39"/>
    </row>
    <row r="336">
      <c r="D336" s="50"/>
      <c r="Q336" s="39"/>
    </row>
    <row r="337">
      <c r="D337" s="50"/>
      <c r="Q337" s="39"/>
    </row>
    <row r="338">
      <c r="D338" s="50"/>
      <c r="Q338" s="39"/>
    </row>
    <row r="339">
      <c r="D339" s="50"/>
      <c r="Q339" s="39"/>
    </row>
    <row r="340">
      <c r="D340" s="50"/>
      <c r="Q340" s="39"/>
    </row>
    <row r="341">
      <c r="D341" s="50"/>
      <c r="Q341" s="39"/>
    </row>
    <row r="342">
      <c r="D342" s="50"/>
      <c r="Q342" s="39"/>
    </row>
    <row r="343">
      <c r="D343" s="50"/>
      <c r="Q343" s="39"/>
    </row>
    <row r="344">
      <c r="D344" s="50"/>
      <c r="Q344" s="39"/>
    </row>
    <row r="345">
      <c r="D345" s="50"/>
      <c r="Q345" s="39"/>
    </row>
    <row r="346">
      <c r="D346" s="50"/>
      <c r="Q346" s="39"/>
    </row>
    <row r="347">
      <c r="D347" s="50"/>
      <c r="Q347" s="39"/>
    </row>
    <row r="348">
      <c r="D348" s="50"/>
      <c r="Q348" s="39"/>
    </row>
    <row r="349">
      <c r="D349" s="50"/>
      <c r="Q349" s="39"/>
    </row>
    <row r="350">
      <c r="D350" s="50"/>
      <c r="Q350" s="39"/>
    </row>
    <row r="351">
      <c r="D351" s="50"/>
      <c r="Q351" s="39"/>
    </row>
    <row r="352">
      <c r="D352" s="50"/>
      <c r="Q352" s="39"/>
    </row>
    <row r="353">
      <c r="D353" s="50"/>
      <c r="Q353" s="39"/>
    </row>
    <row r="354">
      <c r="D354" s="50"/>
      <c r="Q354" s="39"/>
    </row>
    <row r="355">
      <c r="D355" s="50"/>
      <c r="Q355" s="39"/>
    </row>
    <row r="356">
      <c r="D356" s="50"/>
      <c r="Q356" s="39"/>
    </row>
    <row r="357">
      <c r="D357" s="50"/>
      <c r="Q357" s="39"/>
    </row>
    <row r="358">
      <c r="D358" s="50"/>
      <c r="Q358" s="39"/>
    </row>
    <row r="359">
      <c r="D359" s="50"/>
      <c r="Q359" s="39"/>
    </row>
    <row r="360">
      <c r="D360" s="50"/>
      <c r="Q360" s="39"/>
    </row>
    <row r="361">
      <c r="D361" s="50"/>
      <c r="Q361" s="39"/>
    </row>
    <row r="362">
      <c r="D362" s="50"/>
      <c r="Q362" s="39"/>
    </row>
    <row r="363">
      <c r="D363" s="50"/>
      <c r="Q363" s="39"/>
    </row>
    <row r="364">
      <c r="D364" s="50"/>
      <c r="Q364" s="39"/>
    </row>
    <row r="365">
      <c r="D365" s="50"/>
      <c r="Q365" s="39"/>
    </row>
    <row r="366">
      <c r="D366" s="50"/>
      <c r="Q366" s="39"/>
    </row>
    <row r="367">
      <c r="D367" s="50"/>
      <c r="Q367" s="39"/>
    </row>
    <row r="368">
      <c r="D368" s="50"/>
      <c r="Q368" s="39"/>
    </row>
    <row r="369">
      <c r="D369" s="50"/>
      <c r="Q369" s="39"/>
    </row>
    <row r="370">
      <c r="D370" s="50"/>
      <c r="Q370" s="39"/>
    </row>
    <row r="371">
      <c r="D371" s="50"/>
      <c r="Q371" s="39"/>
    </row>
    <row r="372">
      <c r="D372" s="50"/>
      <c r="Q372" s="39"/>
    </row>
    <row r="373">
      <c r="D373" s="50"/>
      <c r="Q373" s="39"/>
    </row>
    <row r="374">
      <c r="D374" s="50"/>
      <c r="Q374" s="39"/>
    </row>
    <row r="375">
      <c r="D375" s="50"/>
      <c r="Q375" s="39"/>
    </row>
    <row r="376">
      <c r="D376" s="50"/>
      <c r="Q376" s="39"/>
    </row>
    <row r="377">
      <c r="D377" s="50"/>
      <c r="Q377" s="39"/>
    </row>
    <row r="378">
      <c r="D378" s="50"/>
      <c r="Q378" s="39"/>
    </row>
    <row r="379">
      <c r="D379" s="50"/>
      <c r="Q379" s="39"/>
    </row>
    <row r="380">
      <c r="D380" s="50"/>
      <c r="Q380" s="39"/>
    </row>
    <row r="381">
      <c r="D381" s="50"/>
      <c r="Q381" s="39"/>
    </row>
    <row r="382">
      <c r="D382" s="50"/>
      <c r="Q382" s="39"/>
    </row>
    <row r="383">
      <c r="D383" s="50"/>
      <c r="Q383" s="39"/>
    </row>
    <row r="384">
      <c r="D384" s="50"/>
      <c r="Q384" s="39"/>
    </row>
    <row r="385">
      <c r="D385" s="50"/>
      <c r="Q385" s="39"/>
    </row>
    <row r="386">
      <c r="D386" s="50"/>
      <c r="Q386" s="39"/>
    </row>
    <row r="387">
      <c r="D387" s="50"/>
      <c r="Q387" s="39"/>
    </row>
    <row r="388">
      <c r="D388" s="50"/>
      <c r="Q388" s="39"/>
    </row>
    <row r="389">
      <c r="D389" s="50"/>
      <c r="Q389" s="39"/>
    </row>
    <row r="390">
      <c r="D390" s="50"/>
      <c r="Q390" s="39"/>
    </row>
    <row r="391">
      <c r="D391" s="50"/>
      <c r="Q391" s="39"/>
    </row>
    <row r="392">
      <c r="D392" s="50"/>
      <c r="Q392" s="39"/>
    </row>
    <row r="393">
      <c r="D393" s="50"/>
      <c r="Q393" s="39"/>
    </row>
    <row r="394">
      <c r="D394" s="50"/>
      <c r="Q394" s="39"/>
    </row>
    <row r="395">
      <c r="D395" s="50"/>
      <c r="Q395" s="39"/>
    </row>
    <row r="396">
      <c r="D396" s="50"/>
      <c r="Q396" s="39"/>
    </row>
    <row r="397">
      <c r="D397" s="50"/>
      <c r="Q397" s="39"/>
    </row>
    <row r="398">
      <c r="D398" s="50"/>
      <c r="Q398" s="39"/>
    </row>
    <row r="399">
      <c r="D399" s="50"/>
      <c r="Q399" s="39"/>
    </row>
    <row r="400">
      <c r="D400" s="50"/>
      <c r="Q400" s="39"/>
    </row>
    <row r="401">
      <c r="D401" s="50"/>
      <c r="Q401" s="39"/>
    </row>
    <row r="402">
      <c r="D402" s="50"/>
      <c r="Q402" s="39"/>
    </row>
    <row r="403">
      <c r="D403" s="50"/>
      <c r="Q403" s="39"/>
    </row>
    <row r="404">
      <c r="D404" s="50"/>
      <c r="Q404" s="39"/>
    </row>
    <row r="405">
      <c r="D405" s="50"/>
      <c r="Q405" s="39"/>
    </row>
    <row r="406">
      <c r="D406" s="50"/>
      <c r="Q406" s="39"/>
    </row>
    <row r="407">
      <c r="D407" s="50"/>
      <c r="Q407" s="39"/>
    </row>
    <row r="408">
      <c r="D408" s="50"/>
      <c r="Q408" s="39"/>
    </row>
    <row r="409">
      <c r="D409" s="50"/>
      <c r="Q409" s="39"/>
    </row>
    <row r="410">
      <c r="D410" s="50"/>
      <c r="Q410" s="39"/>
    </row>
    <row r="411">
      <c r="D411" s="50"/>
      <c r="Q411" s="39"/>
    </row>
    <row r="412">
      <c r="D412" s="50"/>
      <c r="Q412" s="39"/>
    </row>
    <row r="413">
      <c r="D413" s="50"/>
      <c r="Q413" s="39"/>
    </row>
    <row r="414">
      <c r="D414" s="50"/>
      <c r="Q414" s="39"/>
    </row>
    <row r="415">
      <c r="D415" s="50"/>
      <c r="Q415" s="39"/>
    </row>
    <row r="416">
      <c r="D416" s="50"/>
      <c r="Q416" s="39"/>
    </row>
    <row r="417">
      <c r="D417" s="50"/>
      <c r="Q417" s="39"/>
    </row>
    <row r="418">
      <c r="D418" s="50"/>
      <c r="Q418" s="39"/>
    </row>
    <row r="419">
      <c r="D419" s="50"/>
      <c r="Q419" s="39"/>
    </row>
    <row r="420">
      <c r="D420" s="50"/>
      <c r="Q420" s="39"/>
    </row>
    <row r="421">
      <c r="D421" s="50"/>
      <c r="Q421" s="39"/>
    </row>
    <row r="422">
      <c r="D422" s="50"/>
      <c r="Q422" s="39"/>
    </row>
    <row r="423">
      <c r="D423" s="50"/>
      <c r="Q423" s="39"/>
    </row>
    <row r="424">
      <c r="D424" s="50"/>
      <c r="Q424" s="39"/>
    </row>
    <row r="425">
      <c r="D425" s="50"/>
      <c r="Q425" s="39"/>
    </row>
    <row r="426">
      <c r="D426" s="50"/>
      <c r="Q426" s="39"/>
    </row>
    <row r="427">
      <c r="D427" s="50"/>
      <c r="Q427" s="39"/>
    </row>
    <row r="428">
      <c r="D428" s="50"/>
      <c r="Q428" s="39"/>
    </row>
    <row r="429">
      <c r="D429" s="50"/>
      <c r="Q429" s="39"/>
    </row>
    <row r="430">
      <c r="D430" s="50"/>
      <c r="Q430" s="39"/>
    </row>
    <row r="431">
      <c r="D431" s="50"/>
      <c r="Q431" s="39"/>
    </row>
    <row r="432">
      <c r="D432" s="50"/>
      <c r="Q432" s="39"/>
    </row>
    <row r="433">
      <c r="D433" s="50"/>
      <c r="Q433" s="39"/>
    </row>
    <row r="434">
      <c r="D434" s="50"/>
      <c r="Q434" s="39"/>
    </row>
    <row r="435">
      <c r="D435" s="50"/>
      <c r="Q435" s="39"/>
    </row>
    <row r="436">
      <c r="D436" s="50"/>
      <c r="Q436" s="39"/>
    </row>
    <row r="437">
      <c r="D437" s="50"/>
      <c r="Q437" s="39"/>
    </row>
    <row r="438">
      <c r="D438" s="50"/>
      <c r="Q438" s="39"/>
    </row>
    <row r="439">
      <c r="D439" s="50"/>
      <c r="Q439" s="39"/>
    </row>
    <row r="440">
      <c r="D440" s="50"/>
      <c r="Q440" s="39"/>
    </row>
    <row r="441">
      <c r="D441" s="50"/>
      <c r="Q441" s="39"/>
    </row>
    <row r="442">
      <c r="D442" s="50"/>
      <c r="Q442" s="39"/>
    </row>
    <row r="443">
      <c r="D443" s="50"/>
      <c r="Q443" s="39"/>
    </row>
    <row r="444">
      <c r="D444" s="50"/>
      <c r="Q444" s="39"/>
    </row>
    <row r="445">
      <c r="D445" s="50"/>
      <c r="Q445" s="39"/>
    </row>
    <row r="446">
      <c r="D446" s="50"/>
      <c r="Q446" s="39"/>
    </row>
    <row r="447">
      <c r="D447" s="50"/>
      <c r="Q447" s="39"/>
    </row>
    <row r="448">
      <c r="D448" s="50"/>
      <c r="Q448" s="39"/>
    </row>
    <row r="449">
      <c r="D449" s="50"/>
      <c r="Q449" s="39"/>
    </row>
    <row r="450">
      <c r="D450" s="50"/>
      <c r="Q450" s="39"/>
    </row>
    <row r="451">
      <c r="D451" s="50"/>
      <c r="Q451" s="39"/>
    </row>
    <row r="452">
      <c r="D452" s="50"/>
      <c r="Q452" s="39"/>
    </row>
    <row r="453">
      <c r="D453" s="50"/>
      <c r="Q453" s="39"/>
    </row>
    <row r="454">
      <c r="D454" s="50"/>
      <c r="Q454" s="39"/>
    </row>
    <row r="455">
      <c r="D455" s="50"/>
      <c r="Q455" s="39"/>
    </row>
    <row r="456">
      <c r="D456" s="50"/>
      <c r="Q456" s="39"/>
    </row>
    <row r="457">
      <c r="D457" s="50"/>
      <c r="Q457" s="39"/>
    </row>
    <row r="458">
      <c r="D458" s="50"/>
      <c r="Q458" s="39"/>
    </row>
    <row r="459">
      <c r="D459" s="50"/>
      <c r="Q459" s="39"/>
    </row>
    <row r="460">
      <c r="D460" s="50"/>
      <c r="Q460" s="39"/>
    </row>
    <row r="461">
      <c r="D461" s="50"/>
      <c r="Q461" s="39"/>
    </row>
    <row r="462">
      <c r="D462" s="50"/>
      <c r="Q462" s="39"/>
    </row>
    <row r="463">
      <c r="D463" s="50"/>
      <c r="Q463" s="39"/>
    </row>
    <row r="464">
      <c r="D464" s="50"/>
      <c r="Q464" s="39"/>
    </row>
    <row r="465">
      <c r="D465" s="50"/>
      <c r="Q465" s="39"/>
    </row>
    <row r="466">
      <c r="D466" s="50"/>
      <c r="Q466" s="39"/>
    </row>
    <row r="467">
      <c r="D467" s="50"/>
      <c r="Q467" s="39"/>
    </row>
    <row r="468">
      <c r="D468" s="50"/>
      <c r="Q468" s="39"/>
    </row>
    <row r="469">
      <c r="D469" s="50"/>
      <c r="Q469" s="39"/>
    </row>
    <row r="470">
      <c r="D470" s="50"/>
      <c r="Q470" s="39"/>
    </row>
    <row r="471">
      <c r="D471" s="50"/>
      <c r="Q471" s="39"/>
    </row>
    <row r="472">
      <c r="D472" s="50"/>
      <c r="Q472" s="39"/>
    </row>
    <row r="473">
      <c r="D473" s="50"/>
      <c r="Q473" s="39"/>
    </row>
    <row r="474">
      <c r="D474" s="50"/>
      <c r="Q474" s="39"/>
    </row>
    <row r="475">
      <c r="D475" s="50"/>
      <c r="Q475" s="39"/>
    </row>
    <row r="476">
      <c r="D476" s="50"/>
      <c r="Q476" s="39"/>
    </row>
    <row r="477">
      <c r="D477" s="50"/>
      <c r="Q477" s="39"/>
    </row>
    <row r="478">
      <c r="D478" s="50"/>
      <c r="Q478" s="39"/>
    </row>
    <row r="479">
      <c r="D479" s="50"/>
      <c r="Q479" s="39"/>
    </row>
    <row r="480">
      <c r="D480" s="50"/>
      <c r="Q480" s="39"/>
    </row>
    <row r="481">
      <c r="D481" s="50"/>
      <c r="Q481" s="39"/>
    </row>
    <row r="482">
      <c r="D482" s="50"/>
      <c r="Q482" s="39"/>
    </row>
    <row r="483">
      <c r="D483" s="50"/>
      <c r="Q483" s="39"/>
    </row>
    <row r="484">
      <c r="D484" s="50"/>
      <c r="Q484" s="39"/>
    </row>
    <row r="485">
      <c r="D485" s="50"/>
      <c r="Q485" s="39"/>
    </row>
    <row r="486">
      <c r="D486" s="50"/>
      <c r="Q486" s="39"/>
    </row>
    <row r="487">
      <c r="D487" s="50"/>
      <c r="Q487" s="39"/>
    </row>
    <row r="488">
      <c r="D488" s="50"/>
      <c r="Q488" s="39"/>
    </row>
    <row r="489">
      <c r="D489" s="50"/>
      <c r="Q489" s="39"/>
    </row>
    <row r="490">
      <c r="D490" s="50"/>
      <c r="Q490" s="39"/>
    </row>
    <row r="491">
      <c r="D491" s="50"/>
      <c r="Q491" s="39"/>
    </row>
    <row r="492">
      <c r="D492" s="50"/>
      <c r="Q492" s="39"/>
    </row>
    <row r="493">
      <c r="D493" s="50"/>
      <c r="Q493" s="39"/>
    </row>
    <row r="494">
      <c r="D494" s="50"/>
      <c r="Q494" s="39"/>
    </row>
    <row r="495">
      <c r="D495" s="50"/>
      <c r="Q495" s="39"/>
    </row>
    <row r="496">
      <c r="D496" s="50"/>
      <c r="Q496" s="39"/>
    </row>
    <row r="497">
      <c r="D497" s="50"/>
      <c r="Q497" s="39"/>
    </row>
    <row r="498">
      <c r="D498" s="50"/>
      <c r="Q498" s="39"/>
    </row>
    <row r="499">
      <c r="D499" s="50"/>
      <c r="Q499" s="39"/>
    </row>
    <row r="500">
      <c r="D500" s="50"/>
      <c r="Q500" s="39"/>
    </row>
    <row r="501">
      <c r="D501" s="50"/>
      <c r="Q501" s="39"/>
    </row>
    <row r="502">
      <c r="D502" s="50"/>
      <c r="Q502" s="39"/>
    </row>
    <row r="503">
      <c r="D503" s="50"/>
      <c r="Q503" s="39"/>
    </row>
    <row r="504">
      <c r="D504" s="50"/>
      <c r="Q504" s="39"/>
    </row>
    <row r="505">
      <c r="D505" s="50"/>
      <c r="Q505" s="39"/>
    </row>
    <row r="506">
      <c r="D506" s="50"/>
      <c r="Q506" s="39"/>
    </row>
    <row r="507">
      <c r="D507" s="50"/>
      <c r="Q507" s="39"/>
    </row>
    <row r="508">
      <c r="D508" s="50"/>
      <c r="Q508" s="39"/>
    </row>
    <row r="509">
      <c r="D509" s="50"/>
      <c r="Q509" s="39"/>
    </row>
    <row r="510">
      <c r="D510" s="50"/>
      <c r="Q510" s="39"/>
    </row>
    <row r="511">
      <c r="D511" s="50"/>
      <c r="Q511" s="39"/>
    </row>
    <row r="512">
      <c r="D512" s="50"/>
      <c r="Q512" s="39"/>
    </row>
    <row r="513">
      <c r="D513" s="50"/>
      <c r="Q513" s="39"/>
    </row>
    <row r="514">
      <c r="D514" s="50"/>
      <c r="Q514" s="39"/>
    </row>
    <row r="515">
      <c r="D515" s="50"/>
      <c r="Q515" s="39"/>
    </row>
    <row r="516">
      <c r="D516" s="50"/>
      <c r="Q516" s="39"/>
    </row>
    <row r="517">
      <c r="D517" s="50"/>
      <c r="Q517" s="39"/>
    </row>
    <row r="518">
      <c r="D518" s="50"/>
      <c r="Q518" s="39"/>
    </row>
    <row r="519">
      <c r="D519" s="50"/>
      <c r="Q519" s="39"/>
    </row>
    <row r="520">
      <c r="D520" s="50"/>
      <c r="Q520" s="39"/>
    </row>
    <row r="521">
      <c r="D521" s="50"/>
      <c r="Q521" s="39"/>
    </row>
    <row r="522">
      <c r="D522" s="50"/>
      <c r="Q522" s="39"/>
    </row>
    <row r="523">
      <c r="D523" s="50"/>
      <c r="Q523" s="39"/>
    </row>
    <row r="524">
      <c r="D524" s="50"/>
      <c r="Q524" s="39"/>
    </row>
    <row r="525">
      <c r="D525" s="50"/>
      <c r="Q525" s="39"/>
    </row>
    <row r="526">
      <c r="D526" s="50"/>
      <c r="Q526" s="39"/>
    </row>
    <row r="527">
      <c r="D527" s="50"/>
      <c r="Q527" s="39"/>
    </row>
    <row r="528">
      <c r="D528" s="50"/>
      <c r="Q528" s="39"/>
    </row>
    <row r="529">
      <c r="D529" s="50"/>
      <c r="Q529" s="39"/>
    </row>
    <row r="530">
      <c r="D530" s="50"/>
      <c r="Q530" s="39"/>
    </row>
    <row r="531">
      <c r="D531" s="50"/>
      <c r="Q531" s="39"/>
    </row>
    <row r="532">
      <c r="D532" s="50"/>
      <c r="Q532" s="39"/>
    </row>
    <row r="533">
      <c r="D533" s="50"/>
      <c r="Q533" s="39"/>
    </row>
    <row r="534">
      <c r="D534" s="50"/>
      <c r="Q534" s="39"/>
    </row>
    <row r="535">
      <c r="D535" s="50"/>
      <c r="Q535" s="39"/>
    </row>
    <row r="536">
      <c r="D536" s="50"/>
      <c r="Q536" s="39"/>
    </row>
    <row r="537">
      <c r="D537" s="50"/>
      <c r="Q537" s="39"/>
    </row>
    <row r="538">
      <c r="D538" s="50"/>
      <c r="Q538" s="39"/>
    </row>
    <row r="539">
      <c r="D539" s="50"/>
      <c r="Q539" s="39"/>
    </row>
    <row r="540">
      <c r="D540" s="50"/>
      <c r="Q540" s="39"/>
    </row>
    <row r="541">
      <c r="D541" s="50"/>
      <c r="Q541" s="39"/>
    </row>
    <row r="542">
      <c r="D542" s="50"/>
      <c r="Q542" s="39"/>
    </row>
    <row r="543">
      <c r="D543" s="50"/>
      <c r="Q543" s="39"/>
    </row>
    <row r="544">
      <c r="D544" s="50"/>
      <c r="Q544" s="39"/>
    </row>
    <row r="545">
      <c r="D545" s="50"/>
      <c r="Q545" s="39"/>
    </row>
    <row r="546">
      <c r="D546" s="50"/>
      <c r="Q546" s="39"/>
    </row>
    <row r="547">
      <c r="D547" s="50"/>
      <c r="Q547" s="39"/>
    </row>
    <row r="548">
      <c r="D548" s="50"/>
      <c r="Q548" s="39"/>
    </row>
    <row r="549">
      <c r="D549" s="50"/>
      <c r="Q549" s="39"/>
    </row>
    <row r="550">
      <c r="D550" s="50"/>
      <c r="Q550" s="39"/>
    </row>
    <row r="551">
      <c r="D551" s="50"/>
      <c r="Q551" s="39"/>
    </row>
    <row r="552">
      <c r="D552" s="50"/>
      <c r="Q552" s="39"/>
    </row>
    <row r="553">
      <c r="D553" s="50"/>
      <c r="Q553" s="39"/>
    </row>
    <row r="554">
      <c r="D554" s="50"/>
      <c r="Q554" s="39"/>
    </row>
    <row r="555">
      <c r="D555" s="50"/>
      <c r="Q555" s="39"/>
    </row>
    <row r="556">
      <c r="D556" s="50"/>
      <c r="Q556" s="39"/>
    </row>
    <row r="557">
      <c r="D557" s="50"/>
      <c r="Q557" s="39"/>
    </row>
    <row r="558">
      <c r="D558" s="50"/>
      <c r="Q558" s="39"/>
    </row>
    <row r="559">
      <c r="D559" s="50"/>
      <c r="Q559" s="39"/>
    </row>
    <row r="560">
      <c r="D560" s="50"/>
      <c r="Q560" s="39"/>
    </row>
    <row r="561">
      <c r="D561" s="50"/>
      <c r="Q561" s="39"/>
    </row>
    <row r="562">
      <c r="D562" s="50"/>
      <c r="Q562" s="39"/>
    </row>
    <row r="563">
      <c r="D563" s="50"/>
      <c r="Q563" s="39"/>
    </row>
    <row r="564">
      <c r="D564" s="50"/>
      <c r="Q564" s="39"/>
    </row>
    <row r="565">
      <c r="D565" s="50"/>
      <c r="Q565" s="39"/>
    </row>
    <row r="566">
      <c r="D566" s="50"/>
      <c r="Q566" s="39"/>
    </row>
    <row r="567">
      <c r="D567" s="50"/>
      <c r="Q567" s="39"/>
    </row>
    <row r="568">
      <c r="D568" s="50"/>
      <c r="Q568" s="39"/>
    </row>
    <row r="569">
      <c r="D569" s="50"/>
      <c r="Q569" s="39"/>
    </row>
    <row r="570">
      <c r="D570" s="50"/>
      <c r="Q570" s="39"/>
    </row>
    <row r="571">
      <c r="D571" s="50"/>
      <c r="Q571" s="39"/>
    </row>
    <row r="572">
      <c r="D572" s="50"/>
      <c r="Q572" s="39"/>
    </row>
    <row r="573">
      <c r="D573" s="50"/>
      <c r="Q573" s="39"/>
    </row>
    <row r="574">
      <c r="D574" s="50"/>
      <c r="Q574" s="39"/>
    </row>
    <row r="575">
      <c r="D575" s="50"/>
      <c r="Q575" s="39"/>
    </row>
    <row r="576">
      <c r="D576" s="50"/>
      <c r="Q576" s="39"/>
    </row>
    <row r="577">
      <c r="D577" s="50"/>
      <c r="Q577" s="39"/>
    </row>
    <row r="578">
      <c r="D578" s="50"/>
      <c r="Q578" s="39"/>
    </row>
    <row r="579">
      <c r="D579" s="50"/>
      <c r="Q579" s="39"/>
    </row>
    <row r="580">
      <c r="D580" s="50"/>
      <c r="Q580" s="39"/>
    </row>
    <row r="581">
      <c r="D581" s="50"/>
      <c r="Q581" s="39"/>
    </row>
    <row r="582">
      <c r="D582" s="50"/>
      <c r="Q582" s="39"/>
    </row>
    <row r="583">
      <c r="D583" s="50"/>
      <c r="Q583" s="39"/>
    </row>
    <row r="584">
      <c r="D584" s="50"/>
      <c r="Q584" s="39"/>
    </row>
    <row r="585">
      <c r="D585" s="50"/>
      <c r="Q585" s="39"/>
    </row>
    <row r="586">
      <c r="D586" s="50"/>
      <c r="Q586" s="39"/>
    </row>
    <row r="587">
      <c r="D587" s="50"/>
      <c r="Q587" s="39"/>
    </row>
    <row r="588">
      <c r="D588" s="50"/>
      <c r="Q588" s="39"/>
    </row>
    <row r="589">
      <c r="D589" s="50"/>
      <c r="Q589" s="39"/>
    </row>
    <row r="590">
      <c r="D590" s="50"/>
      <c r="Q590" s="39"/>
    </row>
    <row r="591">
      <c r="D591" s="50"/>
      <c r="Q591" s="39"/>
    </row>
    <row r="592">
      <c r="D592" s="50"/>
      <c r="Q592" s="39"/>
    </row>
    <row r="593">
      <c r="D593" s="50"/>
      <c r="Q593" s="39"/>
    </row>
    <row r="594">
      <c r="D594" s="50"/>
      <c r="Q594" s="39"/>
    </row>
    <row r="595">
      <c r="D595" s="50"/>
      <c r="Q595" s="39"/>
    </row>
    <row r="596">
      <c r="D596" s="50"/>
      <c r="Q596" s="39"/>
    </row>
    <row r="597">
      <c r="D597" s="50"/>
      <c r="Q597" s="39"/>
    </row>
    <row r="598">
      <c r="D598" s="50"/>
      <c r="Q598" s="39"/>
    </row>
    <row r="599">
      <c r="D599" s="50"/>
      <c r="Q599" s="39"/>
    </row>
    <row r="600">
      <c r="D600" s="50"/>
      <c r="Q600" s="39"/>
    </row>
    <row r="601">
      <c r="D601" s="50"/>
      <c r="Q601" s="39"/>
    </row>
    <row r="602">
      <c r="D602" s="50"/>
      <c r="Q602" s="39"/>
    </row>
    <row r="603">
      <c r="D603" s="50"/>
      <c r="Q603" s="39"/>
    </row>
    <row r="604">
      <c r="D604" s="50"/>
      <c r="Q604" s="39"/>
    </row>
    <row r="605">
      <c r="D605" s="50"/>
      <c r="Q605" s="39"/>
    </row>
    <row r="606">
      <c r="D606" s="50"/>
      <c r="Q606" s="39"/>
    </row>
    <row r="607">
      <c r="D607" s="50"/>
      <c r="Q607" s="39"/>
    </row>
    <row r="608">
      <c r="D608" s="50"/>
      <c r="Q608" s="39"/>
    </row>
    <row r="609">
      <c r="D609" s="50"/>
      <c r="Q609" s="39"/>
    </row>
    <row r="610">
      <c r="D610" s="50"/>
      <c r="Q610" s="39"/>
    </row>
    <row r="611">
      <c r="D611" s="50"/>
      <c r="Q611" s="39"/>
    </row>
    <row r="612">
      <c r="D612" s="50"/>
      <c r="Q612" s="39"/>
    </row>
    <row r="613">
      <c r="D613" s="50"/>
      <c r="Q613" s="39"/>
    </row>
    <row r="614">
      <c r="D614" s="50"/>
      <c r="Q614" s="39"/>
    </row>
    <row r="615">
      <c r="D615" s="50"/>
      <c r="Q615" s="39"/>
    </row>
    <row r="616">
      <c r="D616" s="50"/>
      <c r="Q616" s="39"/>
    </row>
    <row r="617">
      <c r="D617" s="50"/>
      <c r="Q617" s="39"/>
    </row>
    <row r="618">
      <c r="D618" s="50"/>
      <c r="Q618" s="39"/>
    </row>
    <row r="619">
      <c r="D619" s="50"/>
      <c r="Q619" s="39"/>
    </row>
    <row r="620">
      <c r="D620" s="50"/>
      <c r="Q620" s="39"/>
    </row>
    <row r="621">
      <c r="D621" s="50"/>
      <c r="Q621" s="39"/>
    </row>
    <row r="622">
      <c r="D622" s="50"/>
      <c r="Q622" s="39"/>
    </row>
    <row r="623">
      <c r="D623" s="50"/>
      <c r="Q623" s="39"/>
    </row>
    <row r="624">
      <c r="D624" s="50"/>
      <c r="Q624" s="39"/>
    </row>
    <row r="625">
      <c r="D625" s="50"/>
      <c r="Q625" s="39"/>
    </row>
    <row r="626">
      <c r="D626" s="50"/>
      <c r="Q626" s="39"/>
    </row>
    <row r="627">
      <c r="D627" s="50"/>
      <c r="Q627" s="39"/>
    </row>
    <row r="628">
      <c r="D628" s="50"/>
      <c r="Q628" s="39"/>
    </row>
    <row r="629">
      <c r="D629" s="50"/>
      <c r="Q629" s="39"/>
    </row>
    <row r="630">
      <c r="D630" s="50"/>
      <c r="Q630" s="39"/>
    </row>
    <row r="631">
      <c r="D631" s="50"/>
      <c r="Q631" s="39"/>
    </row>
    <row r="632">
      <c r="D632" s="50"/>
      <c r="Q632" s="39"/>
    </row>
    <row r="633">
      <c r="D633" s="50"/>
      <c r="Q633" s="39"/>
    </row>
    <row r="634">
      <c r="D634" s="50"/>
      <c r="Q634" s="39"/>
    </row>
    <row r="635">
      <c r="D635" s="50"/>
      <c r="Q635" s="39"/>
    </row>
    <row r="636">
      <c r="D636" s="50"/>
      <c r="Q636" s="39"/>
    </row>
    <row r="637">
      <c r="D637" s="50"/>
      <c r="Q637" s="39"/>
    </row>
    <row r="638">
      <c r="D638" s="50"/>
      <c r="Q638" s="39"/>
    </row>
    <row r="639">
      <c r="D639" s="50"/>
      <c r="Q639" s="39"/>
    </row>
    <row r="640">
      <c r="D640" s="50"/>
      <c r="Q640" s="39"/>
    </row>
    <row r="641">
      <c r="D641" s="50"/>
      <c r="Q641" s="39"/>
    </row>
    <row r="642">
      <c r="D642" s="50"/>
      <c r="Q642" s="39"/>
    </row>
    <row r="643">
      <c r="D643" s="50"/>
      <c r="Q643" s="39"/>
    </row>
    <row r="644">
      <c r="D644" s="50"/>
      <c r="Q644" s="39"/>
    </row>
    <row r="645">
      <c r="D645" s="50"/>
      <c r="Q645" s="39"/>
    </row>
    <row r="646">
      <c r="D646" s="50"/>
      <c r="Q646" s="39"/>
    </row>
    <row r="647">
      <c r="D647" s="50"/>
      <c r="Q647" s="39"/>
    </row>
    <row r="648">
      <c r="D648" s="50"/>
      <c r="Q648" s="39"/>
    </row>
    <row r="649">
      <c r="D649" s="50"/>
      <c r="Q649" s="39"/>
    </row>
    <row r="650">
      <c r="D650" s="50"/>
      <c r="Q650" s="39"/>
    </row>
    <row r="651">
      <c r="D651" s="50"/>
      <c r="Q651" s="39"/>
    </row>
    <row r="652">
      <c r="D652" s="50"/>
      <c r="Q652" s="39"/>
    </row>
    <row r="653">
      <c r="D653" s="50"/>
      <c r="Q653" s="39"/>
    </row>
    <row r="654">
      <c r="D654" s="50"/>
      <c r="Q654" s="39"/>
    </row>
    <row r="655">
      <c r="D655" s="50"/>
      <c r="Q655" s="39"/>
    </row>
    <row r="656">
      <c r="D656" s="50"/>
      <c r="Q656" s="39"/>
    </row>
    <row r="657">
      <c r="D657" s="50"/>
      <c r="Q657" s="39"/>
    </row>
    <row r="658">
      <c r="D658" s="50"/>
      <c r="Q658" s="39"/>
    </row>
    <row r="659">
      <c r="D659" s="50"/>
      <c r="Q659" s="39"/>
    </row>
    <row r="660">
      <c r="D660" s="50"/>
      <c r="Q660" s="39"/>
    </row>
    <row r="661">
      <c r="D661" s="50"/>
      <c r="Q661" s="39"/>
    </row>
    <row r="662">
      <c r="D662" s="50"/>
      <c r="Q662" s="39"/>
    </row>
    <row r="663">
      <c r="D663" s="50"/>
      <c r="Q663" s="39"/>
    </row>
    <row r="664">
      <c r="D664" s="50"/>
      <c r="Q664" s="39"/>
    </row>
    <row r="665">
      <c r="D665" s="50"/>
      <c r="Q665" s="39"/>
    </row>
    <row r="666">
      <c r="D666" s="50"/>
      <c r="Q666" s="39"/>
    </row>
    <row r="667">
      <c r="D667" s="50"/>
      <c r="Q667" s="39"/>
    </row>
    <row r="668">
      <c r="D668" s="50"/>
      <c r="Q668" s="39"/>
    </row>
    <row r="669">
      <c r="D669" s="50"/>
      <c r="Q669" s="39"/>
    </row>
    <row r="670">
      <c r="D670" s="50"/>
      <c r="Q670" s="39"/>
    </row>
    <row r="671">
      <c r="D671" s="50"/>
      <c r="Q671" s="39"/>
    </row>
    <row r="672">
      <c r="D672" s="50"/>
      <c r="Q672" s="39"/>
    </row>
    <row r="673">
      <c r="D673" s="50"/>
      <c r="Q673" s="39"/>
    </row>
    <row r="674">
      <c r="D674" s="50"/>
      <c r="Q674" s="39"/>
    </row>
    <row r="675">
      <c r="D675" s="50"/>
      <c r="Q675" s="39"/>
    </row>
    <row r="676">
      <c r="D676" s="50"/>
      <c r="Q676" s="39"/>
    </row>
    <row r="677">
      <c r="D677" s="50"/>
      <c r="Q677" s="39"/>
    </row>
    <row r="678">
      <c r="D678" s="50"/>
      <c r="Q678" s="39"/>
    </row>
    <row r="679">
      <c r="D679" s="50"/>
      <c r="Q679" s="39"/>
    </row>
    <row r="680">
      <c r="D680" s="50"/>
      <c r="Q680" s="39"/>
    </row>
    <row r="681">
      <c r="D681" s="50"/>
      <c r="Q681" s="39"/>
    </row>
    <row r="682">
      <c r="D682" s="50"/>
      <c r="Q682" s="39"/>
    </row>
    <row r="683">
      <c r="D683" s="50"/>
      <c r="Q683" s="39"/>
    </row>
    <row r="684">
      <c r="D684" s="50"/>
      <c r="Q684" s="39"/>
    </row>
    <row r="685">
      <c r="D685" s="50"/>
      <c r="Q685" s="39"/>
    </row>
    <row r="686">
      <c r="D686" s="50"/>
      <c r="Q686" s="39"/>
    </row>
    <row r="687">
      <c r="D687" s="50"/>
      <c r="Q687" s="39"/>
    </row>
    <row r="688">
      <c r="D688" s="50"/>
      <c r="Q688" s="39"/>
    </row>
    <row r="689">
      <c r="D689" s="50"/>
      <c r="Q689" s="39"/>
    </row>
    <row r="690">
      <c r="D690" s="50"/>
      <c r="Q690" s="39"/>
    </row>
    <row r="691">
      <c r="D691" s="50"/>
      <c r="Q691" s="39"/>
    </row>
    <row r="692">
      <c r="D692" s="50"/>
      <c r="Q692" s="39"/>
    </row>
    <row r="693">
      <c r="D693" s="50"/>
      <c r="Q693" s="39"/>
    </row>
    <row r="694">
      <c r="D694" s="50"/>
      <c r="Q694" s="39"/>
    </row>
    <row r="695">
      <c r="D695" s="50"/>
      <c r="Q695" s="39"/>
    </row>
    <row r="696">
      <c r="D696" s="50"/>
      <c r="Q696" s="39"/>
    </row>
    <row r="697">
      <c r="D697" s="50"/>
      <c r="Q697" s="39"/>
    </row>
    <row r="698">
      <c r="D698" s="50"/>
      <c r="Q698" s="39"/>
    </row>
    <row r="699">
      <c r="D699" s="50"/>
      <c r="Q699" s="39"/>
    </row>
    <row r="700">
      <c r="D700" s="50"/>
      <c r="Q700" s="39"/>
    </row>
    <row r="701">
      <c r="D701" s="50"/>
      <c r="Q701" s="39"/>
    </row>
    <row r="702">
      <c r="D702" s="50"/>
      <c r="Q702" s="39"/>
    </row>
    <row r="703">
      <c r="D703" s="50"/>
      <c r="Q703" s="39"/>
    </row>
    <row r="704">
      <c r="D704" s="50"/>
      <c r="Q704" s="39"/>
    </row>
    <row r="705">
      <c r="D705" s="50"/>
      <c r="Q705" s="39"/>
    </row>
    <row r="706">
      <c r="D706" s="50"/>
      <c r="Q706" s="39"/>
    </row>
    <row r="707">
      <c r="D707" s="50"/>
      <c r="Q707" s="39"/>
    </row>
    <row r="708">
      <c r="D708" s="50"/>
      <c r="Q708" s="39"/>
    </row>
    <row r="709">
      <c r="D709" s="50"/>
      <c r="Q709" s="39"/>
    </row>
    <row r="710">
      <c r="D710" s="50"/>
      <c r="Q710" s="39"/>
    </row>
    <row r="711">
      <c r="D711" s="50"/>
      <c r="Q711" s="39"/>
    </row>
    <row r="712">
      <c r="D712" s="50"/>
      <c r="Q712" s="39"/>
    </row>
    <row r="713">
      <c r="D713" s="50"/>
      <c r="Q713" s="39"/>
    </row>
    <row r="714">
      <c r="D714" s="50"/>
      <c r="Q714" s="39"/>
    </row>
    <row r="715">
      <c r="D715" s="50"/>
      <c r="Q715" s="39"/>
    </row>
    <row r="716">
      <c r="D716" s="50"/>
      <c r="Q716" s="39"/>
    </row>
    <row r="717">
      <c r="D717" s="50"/>
      <c r="Q717" s="39"/>
    </row>
    <row r="718">
      <c r="D718" s="50"/>
      <c r="Q718" s="39"/>
    </row>
    <row r="719">
      <c r="D719" s="50"/>
      <c r="Q719" s="39"/>
    </row>
    <row r="720">
      <c r="D720" s="50"/>
      <c r="Q720" s="39"/>
    </row>
    <row r="721">
      <c r="D721" s="50"/>
      <c r="Q721" s="39"/>
    </row>
    <row r="722">
      <c r="D722" s="50"/>
      <c r="Q722" s="39"/>
    </row>
    <row r="723">
      <c r="D723" s="50"/>
      <c r="Q723" s="39"/>
    </row>
    <row r="724">
      <c r="D724" s="50"/>
      <c r="Q724" s="39"/>
    </row>
    <row r="725">
      <c r="D725" s="50"/>
      <c r="Q725" s="39"/>
    </row>
    <row r="726">
      <c r="D726" s="50"/>
      <c r="Q726" s="39"/>
    </row>
    <row r="727">
      <c r="D727" s="50"/>
      <c r="Q727" s="39"/>
    </row>
    <row r="728">
      <c r="D728" s="50"/>
      <c r="Q728" s="39"/>
    </row>
    <row r="729">
      <c r="D729" s="50"/>
      <c r="Q729" s="39"/>
    </row>
    <row r="730">
      <c r="D730" s="50"/>
      <c r="Q730" s="39"/>
    </row>
    <row r="731">
      <c r="D731" s="50"/>
      <c r="Q731" s="39"/>
    </row>
    <row r="732">
      <c r="D732" s="50"/>
      <c r="Q732" s="39"/>
    </row>
    <row r="733">
      <c r="D733" s="50"/>
      <c r="Q733" s="39"/>
    </row>
    <row r="734">
      <c r="D734" s="50"/>
      <c r="Q734" s="39"/>
    </row>
    <row r="735">
      <c r="D735" s="50"/>
      <c r="Q735" s="39"/>
    </row>
    <row r="736">
      <c r="D736" s="50"/>
      <c r="Q736" s="39"/>
    </row>
    <row r="737">
      <c r="D737" s="50"/>
      <c r="Q737" s="39"/>
    </row>
    <row r="738">
      <c r="D738" s="50"/>
      <c r="Q738" s="39"/>
    </row>
    <row r="739">
      <c r="D739" s="50"/>
      <c r="Q739" s="39"/>
    </row>
    <row r="740">
      <c r="D740" s="50"/>
      <c r="Q740" s="39"/>
    </row>
    <row r="741">
      <c r="D741" s="50"/>
      <c r="Q741" s="39"/>
    </row>
    <row r="742">
      <c r="D742" s="50"/>
      <c r="Q742" s="39"/>
    </row>
    <row r="743">
      <c r="D743" s="50"/>
      <c r="Q743" s="39"/>
    </row>
    <row r="744">
      <c r="D744" s="50"/>
      <c r="Q744" s="39"/>
    </row>
    <row r="745">
      <c r="D745" s="50"/>
      <c r="Q745" s="39"/>
    </row>
    <row r="746">
      <c r="D746" s="50"/>
      <c r="Q746" s="39"/>
    </row>
    <row r="747">
      <c r="D747" s="50"/>
      <c r="Q747" s="39"/>
    </row>
    <row r="748">
      <c r="D748" s="50"/>
      <c r="Q748" s="39"/>
    </row>
    <row r="749">
      <c r="D749" s="50"/>
      <c r="Q749" s="39"/>
    </row>
    <row r="750">
      <c r="D750" s="50"/>
      <c r="Q750" s="39"/>
    </row>
    <row r="751">
      <c r="D751" s="50"/>
      <c r="Q751" s="39"/>
    </row>
    <row r="752">
      <c r="D752" s="50"/>
      <c r="Q752" s="39"/>
    </row>
    <row r="753">
      <c r="D753" s="50"/>
      <c r="Q753" s="39"/>
    </row>
    <row r="754">
      <c r="D754" s="50"/>
      <c r="Q754" s="39"/>
    </row>
    <row r="755">
      <c r="D755" s="50"/>
      <c r="Q755" s="39"/>
    </row>
    <row r="756">
      <c r="D756" s="50"/>
      <c r="Q756" s="39"/>
    </row>
    <row r="757">
      <c r="D757" s="50"/>
      <c r="Q757" s="39"/>
    </row>
    <row r="758">
      <c r="D758" s="50"/>
      <c r="Q758" s="39"/>
    </row>
    <row r="759">
      <c r="D759" s="50"/>
      <c r="Q759" s="39"/>
    </row>
    <row r="760">
      <c r="D760" s="50"/>
      <c r="Q760" s="39"/>
    </row>
    <row r="761">
      <c r="D761" s="50"/>
      <c r="Q761" s="39"/>
    </row>
    <row r="762">
      <c r="D762" s="50"/>
      <c r="Q762" s="39"/>
    </row>
    <row r="763">
      <c r="D763" s="50"/>
      <c r="Q763" s="39"/>
    </row>
    <row r="764">
      <c r="D764" s="50"/>
      <c r="Q764" s="39"/>
    </row>
    <row r="765">
      <c r="D765" s="50"/>
      <c r="Q765" s="39"/>
    </row>
    <row r="766">
      <c r="D766" s="50"/>
      <c r="Q766" s="39"/>
    </row>
    <row r="767">
      <c r="D767" s="50"/>
      <c r="Q767" s="39"/>
    </row>
    <row r="768">
      <c r="D768" s="50"/>
      <c r="Q768" s="39"/>
    </row>
    <row r="769">
      <c r="D769" s="50"/>
      <c r="Q769" s="39"/>
    </row>
    <row r="770">
      <c r="D770" s="50"/>
      <c r="Q770" s="39"/>
    </row>
    <row r="771">
      <c r="D771" s="50"/>
      <c r="Q771" s="39"/>
    </row>
    <row r="772">
      <c r="D772" s="50"/>
      <c r="Q772" s="39"/>
    </row>
    <row r="773">
      <c r="D773" s="50"/>
      <c r="Q773" s="39"/>
    </row>
    <row r="774">
      <c r="D774" s="50"/>
      <c r="Q774" s="39"/>
    </row>
    <row r="775">
      <c r="D775" s="50"/>
      <c r="Q775" s="39"/>
    </row>
    <row r="776">
      <c r="D776" s="50"/>
      <c r="Q776" s="39"/>
    </row>
    <row r="777">
      <c r="D777" s="50"/>
      <c r="Q777" s="39"/>
    </row>
    <row r="778">
      <c r="D778" s="50"/>
      <c r="Q778" s="39"/>
    </row>
    <row r="779">
      <c r="D779" s="50"/>
      <c r="Q779" s="39"/>
    </row>
    <row r="780">
      <c r="D780" s="50"/>
      <c r="Q780" s="39"/>
    </row>
    <row r="781">
      <c r="D781" s="50"/>
      <c r="Q781" s="39"/>
    </row>
    <row r="782">
      <c r="D782" s="50"/>
      <c r="Q782" s="39"/>
    </row>
    <row r="783">
      <c r="D783" s="50"/>
      <c r="Q783" s="39"/>
    </row>
    <row r="784">
      <c r="D784" s="50"/>
      <c r="Q784" s="39"/>
    </row>
    <row r="785">
      <c r="D785" s="50"/>
      <c r="Q785" s="39"/>
    </row>
    <row r="786">
      <c r="D786" s="50"/>
      <c r="Q786" s="39"/>
    </row>
    <row r="787">
      <c r="D787" s="50"/>
      <c r="Q787" s="39"/>
    </row>
    <row r="788">
      <c r="D788" s="50"/>
      <c r="Q788" s="39"/>
    </row>
    <row r="789">
      <c r="D789" s="50"/>
      <c r="Q789" s="39"/>
    </row>
    <row r="790">
      <c r="D790" s="50"/>
      <c r="Q790" s="39"/>
    </row>
    <row r="791">
      <c r="D791" s="50"/>
      <c r="Q791" s="39"/>
    </row>
    <row r="792">
      <c r="D792" s="50"/>
      <c r="Q792" s="39"/>
    </row>
    <row r="793">
      <c r="D793" s="50"/>
      <c r="Q793" s="39"/>
    </row>
    <row r="794">
      <c r="D794" s="50"/>
      <c r="Q794" s="39"/>
    </row>
    <row r="795">
      <c r="D795" s="50"/>
      <c r="Q795" s="39"/>
    </row>
    <row r="796">
      <c r="D796" s="50"/>
      <c r="Q796" s="39"/>
    </row>
    <row r="797">
      <c r="D797" s="50"/>
      <c r="Q797" s="39"/>
    </row>
    <row r="798">
      <c r="D798" s="50"/>
      <c r="Q798" s="39"/>
    </row>
    <row r="799">
      <c r="D799" s="50"/>
      <c r="Q799" s="39"/>
    </row>
    <row r="800">
      <c r="D800" s="50"/>
      <c r="Q800" s="39"/>
    </row>
    <row r="801">
      <c r="D801" s="50"/>
      <c r="Q801" s="39"/>
    </row>
    <row r="802">
      <c r="D802" s="50"/>
      <c r="Q802" s="39"/>
    </row>
    <row r="803">
      <c r="D803" s="50"/>
      <c r="Q803" s="39"/>
    </row>
    <row r="804">
      <c r="D804" s="50"/>
      <c r="Q804" s="39"/>
    </row>
    <row r="805">
      <c r="D805" s="50"/>
      <c r="Q805" s="39"/>
    </row>
    <row r="806">
      <c r="D806" s="50"/>
      <c r="Q806" s="39"/>
    </row>
    <row r="807">
      <c r="D807" s="50"/>
      <c r="Q807" s="39"/>
    </row>
    <row r="808">
      <c r="D808" s="50"/>
      <c r="Q808" s="39"/>
    </row>
    <row r="809">
      <c r="D809" s="50"/>
      <c r="Q809" s="39"/>
    </row>
    <row r="810">
      <c r="D810" s="50"/>
      <c r="Q810" s="39"/>
    </row>
    <row r="811">
      <c r="D811" s="50"/>
      <c r="Q811" s="39"/>
    </row>
    <row r="812">
      <c r="D812" s="50"/>
      <c r="Q812" s="39"/>
    </row>
    <row r="813">
      <c r="D813" s="50"/>
      <c r="Q813" s="39"/>
    </row>
    <row r="814">
      <c r="D814" s="50"/>
      <c r="Q814" s="39"/>
    </row>
    <row r="815">
      <c r="D815" s="50"/>
      <c r="Q815" s="39"/>
    </row>
    <row r="816">
      <c r="D816" s="50"/>
      <c r="Q816" s="39"/>
    </row>
    <row r="817">
      <c r="D817" s="50"/>
      <c r="Q817" s="39"/>
    </row>
    <row r="818">
      <c r="D818" s="50"/>
      <c r="Q818" s="39"/>
    </row>
    <row r="819">
      <c r="D819" s="50"/>
      <c r="Q819" s="39"/>
    </row>
    <row r="820">
      <c r="D820" s="50"/>
      <c r="Q820" s="39"/>
    </row>
    <row r="821">
      <c r="D821" s="50"/>
      <c r="Q821" s="39"/>
    </row>
    <row r="822">
      <c r="D822" s="50"/>
      <c r="Q822" s="39"/>
    </row>
    <row r="823">
      <c r="D823" s="50"/>
      <c r="Q823" s="39"/>
    </row>
    <row r="824">
      <c r="D824" s="50"/>
      <c r="Q824" s="39"/>
    </row>
    <row r="825">
      <c r="D825" s="50"/>
      <c r="Q825" s="39"/>
    </row>
    <row r="826">
      <c r="D826" s="50"/>
      <c r="Q826" s="39"/>
    </row>
    <row r="827">
      <c r="D827" s="50"/>
      <c r="Q827" s="39"/>
    </row>
    <row r="828">
      <c r="D828" s="50"/>
      <c r="Q828" s="39"/>
    </row>
    <row r="829">
      <c r="D829" s="50"/>
      <c r="Q829" s="39"/>
    </row>
    <row r="830">
      <c r="D830" s="50"/>
      <c r="Q830" s="39"/>
    </row>
    <row r="831">
      <c r="D831" s="50"/>
      <c r="Q831" s="39"/>
    </row>
    <row r="832">
      <c r="D832" s="50"/>
      <c r="Q832" s="39"/>
    </row>
    <row r="833">
      <c r="D833" s="50"/>
      <c r="Q833" s="39"/>
    </row>
    <row r="834">
      <c r="D834" s="50"/>
      <c r="Q834" s="39"/>
    </row>
    <row r="835">
      <c r="D835" s="50"/>
      <c r="Q835" s="39"/>
    </row>
    <row r="836">
      <c r="D836" s="50"/>
      <c r="Q836" s="39"/>
    </row>
    <row r="837">
      <c r="D837" s="50"/>
      <c r="Q837" s="39"/>
    </row>
    <row r="838">
      <c r="D838" s="50"/>
      <c r="Q838" s="39"/>
    </row>
    <row r="839">
      <c r="D839" s="50"/>
      <c r="Q839" s="39"/>
    </row>
    <row r="840">
      <c r="D840" s="50"/>
      <c r="Q840" s="39"/>
    </row>
    <row r="841">
      <c r="D841" s="50"/>
      <c r="Q841" s="39"/>
    </row>
    <row r="842">
      <c r="D842" s="50"/>
      <c r="Q842" s="39"/>
    </row>
    <row r="843">
      <c r="D843" s="50"/>
      <c r="Q843" s="39"/>
    </row>
    <row r="844">
      <c r="D844" s="50"/>
      <c r="Q844" s="39"/>
    </row>
    <row r="845">
      <c r="D845" s="50"/>
      <c r="Q845" s="39"/>
    </row>
    <row r="846">
      <c r="D846" s="50"/>
      <c r="Q846" s="39"/>
    </row>
    <row r="847">
      <c r="D847" s="50"/>
      <c r="Q847" s="39"/>
    </row>
    <row r="848">
      <c r="D848" s="50"/>
      <c r="Q848" s="39"/>
    </row>
    <row r="849">
      <c r="D849" s="50"/>
      <c r="Q849" s="39"/>
    </row>
    <row r="850">
      <c r="D850" s="50"/>
      <c r="Q850" s="39"/>
    </row>
    <row r="851">
      <c r="D851" s="50"/>
      <c r="Q851" s="39"/>
    </row>
    <row r="852">
      <c r="D852" s="50"/>
      <c r="Q852" s="39"/>
    </row>
    <row r="853">
      <c r="D853" s="50"/>
      <c r="Q853" s="39"/>
    </row>
    <row r="854">
      <c r="D854" s="50"/>
      <c r="Q854" s="39"/>
    </row>
    <row r="855">
      <c r="D855" s="50"/>
      <c r="Q855" s="39"/>
    </row>
    <row r="856">
      <c r="D856" s="50"/>
      <c r="Q856" s="39"/>
    </row>
    <row r="857">
      <c r="D857" s="50"/>
      <c r="Q857" s="39"/>
    </row>
    <row r="858">
      <c r="D858" s="50"/>
      <c r="Q858" s="39"/>
    </row>
    <row r="859">
      <c r="D859" s="50"/>
      <c r="Q859" s="39"/>
    </row>
    <row r="860">
      <c r="D860" s="50"/>
      <c r="Q860" s="39"/>
    </row>
    <row r="861">
      <c r="D861" s="50"/>
      <c r="Q861" s="39"/>
    </row>
    <row r="862">
      <c r="D862" s="50"/>
      <c r="Q862" s="39"/>
    </row>
    <row r="863">
      <c r="D863" s="50"/>
      <c r="Q863" s="39"/>
    </row>
    <row r="864">
      <c r="D864" s="50"/>
      <c r="Q864" s="39"/>
    </row>
    <row r="865">
      <c r="D865" s="50"/>
      <c r="Q865" s="39"/>
    </row>
    <row r="866">
      <c r="D866" s="50"/>
      <c r="Q866" s="39"/>
    </row>
    <row r="867">
      <c r="D867" s="50"/>
      <c r="Q867" s="39"/>
    </row>
    <row r="868">
      <c r="D868" s="50"/>
      <c r="Q868" s="39"/>
    </row>
    <row r="869">
      <c r="D869" s="50"/>
      <c r="Q869" s="39"/>
    </row>
    <row r="870">
      <c r="D870" s="50"/>
      <c r="Q870" s="39"/>
    </row>
    <row r="871">
      <c r="D871" s="50"/>
      <c r="Q871" s="39"/>
    </row>
    <row r="872">
      <c r="D872" s="50"/>
      <c r="Q872" s="39"/>
    </row>
    <row r="873">
      <c r="D873" s="50"/>
      <c r="Q873" s="39"/>
    </row>
    <row r="874">
      <c r="D874" s="50"/>
      <c r="Q874" s="39"/>
    </row>
    <row r="875">
      <c r="D875" s="50"/>
      <c r="Q875" s="39"/>
    </row>
    <row r="876">
      <c r="D876" s="50"/>
      <c r="Q876" s="39"/>
    </row>
    <row r="877">
      <c r="D877" s="50"/>
      <c r="Q877" s="39"/>
    </row>
    <row r="878">
      <c r="D878" s="50"/>
      <c r="Q878" s="39"/>
    </row>
    <row r="879">
      <c r="D879" s="50"/>
      <c r="Q879" s="39"/>
    </row>
    <row r="880">
      <c r="D880" s="50"/>
      <c r="Q880" s="39"/>
    </row>
    <row r="881">
      <c r="D881" s="50"/>
      <c r="Q881" s="39"/>
    </row>
    <row r="882">
      <c r="D882" s="50"/>
      <c r="Q882" s="39"/>
    </row>
    <row r="883">
      <c r="D883" s="50"/>
      <c r="Q883" s="39"/>
    </row>
    <row r="884">
      <c r="D884" s="50"/>
      <c r="Q884" s="39"/>
    </row>
    <row r="885">
      <c r="D885" s="50"/>
      <c r="Q885" s="39"/>
    </row>
    <row r="886">
      <c r="D886" s="50"/>
      <c r="Q886" s="39"/>
    </row>
    <row r="887">
      <c r="D887" s="50"/>
      <c r="Q887" s="39"/>
    </row>
    <row r="888">
      <c r="D888" s="50"/>
      <c r="Q888" s="39"/>
    </row>
    <row r="889">
      <c r="D889" s="50"/>
      <c r="Q889" s="39"/>
    </row>
    <row r="890">
      <c r="D890" s="50"/>
      <c r="Q890" s="39"/>
    </row>
    <row r="891">
      <c r="D891" s="50"/>
      <c r="Q891" s="39"/>
    </row>
    <row r="892">
      <c r="D892" s="50"/>
      <c r="Q892" s="39"/>
    </row>
    <row r="893">
      <c r="D893" s="50"/>
      <c r="Q893" s="39"/>
    </row>
    <row r="894">
      <c r="D894" s="50"/>
      <c r="Q894" s="39"/>
    </row>
    <row r="895">
      <c r="D895" s="50"/>
      <c r="Q895" s="39"/>
    </row>
    <row r="896">
      <c r="D896" s="50"/>
      <c r="Q896" s="39"/>
    </row>
    <row r="897">
      <c r="D897" s="50"/>
      <c r="Q897" s="39"/>
    </row>
    <row r="898">
      <c r="D898" s="50"/>
      <c r="Q898" s="39"/>
    </row>
    <row r="899">
      <c r="D899" s="50"/>
      <c r="Q899" s="39"/>
    </row>
    <row r="900">
      <c r="D900" s="50"/>
      <c r="Q900" s="39"/>
    </row>
    <row r="901">
      <c r="D901" s="50"/>
      <c r="Q901" s="39"/>
    </row>
    <row r="902">
      <c r="D902" s="50"/>
      <c r="Q902" s="39"/>
    </row>
    <row r="903">
      <c r="D903" s="50"/>
      <c r="Q903" s="39"/>
    </row>
    <row r="904">
      <c r="D904" s="50"/>
      <c r="Q904" s="39"/>
    </row>
    <row r="905">
      <c r="D905" s="50"/>
      <c r="Q905" s="39"/>
    </row>
    <row r="906">
      <c r="D906" s="50"/>
      <c r="Q906" s="39"/>
    </row>
    <row r="907">
      <c r="D907" s="50"/>
      <c r="Q907" s="39"/>
    </row>
    <row r="908">
      <c r="D908" s="50"/>
      <c r="Q908" s="39"/>
    </row>
    <row r="909">
      <c r="D909" s="50"/>
      <c r="Q909" s="39"/>
    </row>
    <row r="910">
      <c r="D910" s="50"/>
      <c r="Q910" s="39"/>
    </row>
    <row r="911">
      <c r="D911" s="50"/>
      <c r="Q911" s="39"/>
    </row>
    <row r="912">
      <c r="D912" s="50"/>
      <c r="Q912" s="39"/>
    </row>
    <row r="913">
      <c r="D913" s="50"/>
      <c r="Q913" s="39"/>
    </row>
    <row r="914">
      <c r="D914" s="50"/>
      <c r="Q914" s="39"/>
    </row>
    <row r="915">
      <c r="D915" s="50"/>
      <c r="Q915" s="39"/>
    </row>
    <row r="916">
      <c r="D916" s="50"/>
      <c r="Q916" s="39"/>
    </row>
    <row r="917">
      <c r="D917" s="50"/>
      <c r="Q917" s="39"/>
    </row>
    <row r="918">
      <c r="D918" s="50"/>
      <c r="Q918" s="39"/>
    </row>
    <row r="919">
      <c r="D919" s="50"/>
      <c r="Q919" s="39"/>
    </row>
    <row r="920">
      <c r="D920" s="50"/>
      <c r="Q920" s="39"/>
    </row>
    <row r="921">
      <c r="D921" s="50"/>
      <c r="Q921" s="39"/>
    </row>
    <row r="922">
      <c r="D922" s="50"/>
      <c r="Q922" s="39"/>
    </row>
    <row r="923">
      <c r="D923" s="50"/>
      <c r="Q923" s="39"/>
    </row>
    <row r="924">
      <c r="D924" s="50"/>
      <c r="Q924" s="39"/>
    </row>
    <row r="925">
      <c r="D925" s="50"/>
      <c r="Q925" s="39"/>
    </row>
    <row r="926">
      <c r="D926" s="50"/>
      <c r="Q926" s="39"/>
    </row>
    <row r="927">
      <c r="D927" s="50"/>
      <c r="Q927" s="39"/>
    </row>
    <row r="928">
      <c r="D928" s="50"/>
      <c r="Q928" s="39"/>
    </row>
    <row r="929">
      <c r="D929" s="50"/>
      <c r="Q929" s="39"/>
    </row>
    <row r="930">
      <c r="D930" s="50"/>
      <c r="Q930" s="39"/>
    </row>
    <row r="931">
      <c r="D931" s="50"/>
      <c r="Q931" s="39"/>
    </row>
    <row r="932">
      <c r="D932" s="50"/>
      <c r="Q932" s="39"/>
    </row>
    <row r="933">
      <c r="D933" s="50"/>
      <c r="Q933" s="39"/>
    </row>
    <row r="934">
      <c r="D934" s="50"/>
      <c r="Q934" s="39"/>
    </row>
    <row r="935">
      <c r="D935" s="50"/>
      <c r="Q935" s="39"/>
    </row>
    <row r="936">
      <c r="D936" s="50"/>
      <c r="Q936" s="39"/>
    </row>
    <row r="937">
      <c r="D937" s="50"/>
      <c r="Q937" s="39"/>
    </row>
    <row r="938">
      <c r="D938" s="50"/>
      <c r="Q938" s="39"/>
    </row>
    <row r="939">
      <c r="D939" s="50"/>
      <c r="Q939" s="39"/>
    </row>
    <row r="940">
      <c r="D940" s="50"/>
      <c r="Q940" s="39"/>
    </row>
    <row r="941">
      <c r="D941" s="50"/>
      <c r="Q941" s="39"/>
    </row>
    <row r="942">
      <c r="D942" s="50"/>
      <c r="Q942" s="39"/>
    </row>
    <row r="943">
      <c r="D943" s="50"/>
      <c r="Q943" s="39"/>
    </row>
    <row r="944">
      <c r="D944" s="50"/>
      <c r="Q944" s="39"/>
    </row>
    <row r="945">
      <c r="D945" s="50"/>
      <c r="Q945" s="39"/>
    </row>
    <row r="946">
      <c r="D946" s="50"/>
      <c r="Q946" s="39"/>
    </row>
    <row r="947">
      <c r="D947" s="50"/>
      <c r="Q947" s="39"/>
    </row>
    <row r="948">
      <c r="D948" s="50"/>
      <c r="Q948" s="39"/>
    </row>
    <row r="949">
      <c r="D949" s="50"/>
      <c r="Q949" s="39"/>
    </row>
    <row r="950">
      <c r="D950" s="50"/>
      <c r="Q950" s="39"/>
    </row>
    <row r="951">
      <c r="D951" s="50"/>
      <c r="Q951" s="39"/>
    </row>
    <row r="952">
      <c r="D952" s="50"/>
      <c r="Q952" s="39"/>
    </row>
    <row r="953">
      <c r="D953" s="50"/>
      <c r="Q953" s="39"/>
    </row>
    <row r="954">
      <c r="D954" s="50"/>
      <c r="Q954" s="39"/>
    </row>
    <row r="955">
      <c r="D955" s="50"/>
      <c r="Q955" s="39"/>
    </row>
    <row r="956">
      <c r="D956" s="50"/>
      <c r="Q956" s="39"/>
    </row>
    <row r="957">
      <c r="D957" s="50"/>
      <c r="Q957" s="39"/>
    </row>
    <row r="958">
      <c r="D958" s="50"/>
      <c r="Q958" s="39"/>
    </row>
    <row r="959">
      <c r="D959" s="50"/>
      <c r="Q959" s="39"/>
    </row>
    <row r="960">
      <c r="D960" s="50"/>
      <c r="Q960" s="39"/>
    </row>
    <row r="961">
      <c r="D961" s="50"/>
      <c r="Q961" s="39"/>
    </row>
    <row r="962">
      <c r="D962" s="50"/>
      <c r="Q962" s="39"/>
    </row>
    <row r="963">
      <c r="D963" s="50"/>
      <c r="Q963" s="39"/>
    </row>
    <row r="964">
      <c r="D964" s="50"/>
      <c r="Q964" s="39"/>
    </row>
    <row r="965">
      <c r="D965" s="50"/>
      <c r="Q965" s="39"/>
    </row>
    <row r="966">
      <c r="D966" s="50"/>
      <c r="Q966" s="39"/>
    </row>
    <row r="967">
      <c r="D967" s="50"/>
      <c r="Q967" s="39"/>
    </row>
    <row r="968">
      <c r="D968" s="50"/>
      <c r="Q968" s="39"/>
    </row>
    <row r="969">
      <c r="D969" s="50"/>
      <c r="Q969" s="39"/>
    </row>
    <row r="970">
      <c r="D970" s="50"/>
      <c r="Q970" s="39"/>
    </row>
    <row r="971">
      <c r="D971" s="50"/>
      <c r="Q971" s="39"/>
    </row>
    <row r="972">
      <c r="D972" s="50"/>
      <c r="Q972" s="39"/>
    </row>
    <row r="973">
      <c r="D973" s="50"/>
      <c r="Q973" s="39"/>
    </row>
    <row r="974">
      <c r="D974" s="50"/>
      <c r="Q974" s="39"/>
    </row>
    <row r="975">
      <c r="D975" s="50"/>
      <c r="Q975" s="39"/>
    </row>
    <row r="976">
      <c r="D976" s="50"/>
      <c r="Q976" s="39"/>
    </row>
    <row r="977">
      <c r="D977" s="50"/>
      <c r="Q977" s="39"/>
    </row>
    <row r="978">
      <c r="D978" s="50"/>
      <c r="Q978" s="39"/>
    </row>
    <row r="979">
      <c r="D979" s="50"/>
      <c r="Q979" s="39"/>
    </row>
    <row r="980">
      <c r="D980" s="50"/>
      <c r="Q980" s="39"/>
    </row>
    <row r="981">
      <c r="D981" s="50"/>
      <c r="Q981" s="39"/>
    </row>
    <row r="982">
      <c r="D982" s="50"/>
      <c r="Q982" s="39"/>
    </row>
    <row r="983">
      <c r="D983" s="50"/>
      <c r="Q983" s="39"/>
    </row>
    <row r="984">
      <c r="D984" s="50"/>
      <c r="Q984" s="39"/>
    </row>
    <row r="985">
      <c r="D985" s="50"/>
      <c r="Q985" s="39"/>
    </row>
    <row r="986">
      <c r="D986" s="50"/>
      <c r="Q986" s="39"/>
    </row>
    <row r="987">
      <c r="D987" s="50"/>
      <c r="Q987" s="39"/>
    </row>
    <row r="988">
      <c r="D988" s="50"/>
      <c r="Q988" s="39"/>
    </row>
    <row r="989">
      <c r="D989" s="50"/>
      <c r="Q989" s="39"/>
    </row>
    <row r="990">
      <c r="D990" s="50"/>
      <c r="Q990" s="39"/>
    </row>
    <row r="991">
      <c r="D991" s="50"/>
      <c r="Q991" s="39"/>
    </row>
    <row r="992">
      <c r="D992" s="50"/>
      <c r="Q992" s="39"/>
    </row>
    <row r="993">
      <c r="D993" s="50"/>
      <c r="Q993" s="39"/>
    </row>
    <row r="994">
      <c r="D994" s="50"/>
      <c r="Q994" s="39"/>
    </row>
    <row r="995">
      <c r="D995" s="50"/>
      <c r="Q995" s="39"/>
    </row>
    <row r="996">
      <c r="D996" s="50"/>
      <c r="Q996" s="39"/>
    </row>
    <row r="997">
      <c r="D997" s="50"/>
      <c r="Q997" s="39"/>
    </row>
    <row r="998">
      <c r="D998" s="50"/>
      <c r="Q998" s="39"/>
    </row>
    <row r="999">
      <c r="D999" s="50"/>
      <c r="Q999" s="39"/>
    </row>
    <row r="1000">
      <c r="D1000" s="50"/>
      <c r="Q1000" s="39"/>
    </row>
    <row r="1001">
      <c r="Q1001" s="39"/>
    </row>
  </sheetData>
  <hyperlinks>
    <hyperlink r:id="rId1" ref="K3"/>
    <hyperlink r:id="rId2" ref="K21"/>
    <hyperlink r:id="rId3" ref="K22"/>
    <hyperlink r:id="rId4" ref="K23"/>
    <hyperlink r:id="rId5" ref="K24"/>
    <hyperlink r:id="rId6" ref="K25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15.0"/>
    <col customWidth="1" min="5" max="5" width="18.5"/>
    <col customWidth="1" min="6" max="6" width="23.5"/>
    <col customWidth="1" min="11" max="11" width="14.63"/>
  </cols>
  <sheetData>
    <row r="1">
      <c r="A1" s="28" t="s">
        <v>213</v>
      </c>
      <c r="B1" s="28" t="s">
        <v>214</v>
      </c>
      <c r="C1" s="28" t="s">
        <v>215</v>
      </c>
      <c r="D1" s="28" t="s">
        <v>216</v>
      </c>
      <c r="E1" s="28" t="s">
        <v>217</v>
      </c>
      <c r="F1" s="28" t="s">
        <v>218</v>
      </c>
      <c r="G1" s="28" t="s">
        <v>219</v>
      </c>
      <c r="H1" s="28" t="s">
        <v>220</v>
      </c>
      <c r="I1" s="28" t="s">
        <v>221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>
      <c r="A2" s="6"/>
      <c r="B2" s="6"/>
      <c r="C2" s="6" t="s">
        <v>222</v>
      </c>
      <c r="D2" s="6" t="s">
        <v>223</v>
      </c>
      <c r="K2" s="52"/>
    </row>
    <row r="3">
      <c r="A3" s="6"/>
      <c r="B3" s="6"/>
      <c r="C3" s="6" t="s">
        <v>222</v>
      </c>
      <c r="D3" s="6" t="s">
        <v>224</v>
      </c>
      <c r="K3" s="52"/>
    </row>
    <row r="4">
      <c r="A4" s="6" t="s">
        <v>225</v>
      </c>
      <c r="B4" s="6" t="s">
        <v>226</v>
      </c>
      <c r="C4" s="6" t="s">
        <v>227</v>
      </c>
      <c r="D4" s="6" t="s">
        <v>228</v>
      </c>
      <c r="K4" s="52" t="s">
        <v>229</v>
      </c>
    </row>
    <row r="5">
      <c r="A5" s="6" t="s">
        <v>230</v>
      </c>
      <c r="B5" s="6" t="s">
        <v>231</v>
      </c>
      <c r="C5" s="6" t="s">
        <v>232</v>
      </c>
      <c r="D5" s="6" t="s">
        <v>233</v>
      </c>
      <c r="E5" s="6" t="s">
        <v>234</v>
      </c>
    </row>
    <row r="6">
      <c r="A6" s="6" t="s">
        <v>230</v>
      </c>
      <c r="B6" s="6" t="s">
        <v>235</v>
      </c>
      <c r="C6" s="6" t="s">
        <v>236</v>
      </c>
      <c r="D6" s="6" t="s">
        <v>237</v>
      </c>
      <c r="F6" s="6" t="s">
        <v>238</v>
      </c>
    </row>
    <row r="7">
      <c r="A7" s="6" t="s">
        <v>239</v>
      </c>
      <c r="B7" s="6" t="s">
        <v>240</v>
      </c>
      <c r="C7" s="6" t="s">
        <v>241</v>
      </c>
      <c r="D7" s="6" t="s">
        <v>242</v>
      </c>
      <c r="F7" s="6" t="s">
        <v>243</v>
      </c>
      <c r="G7" s="6" t="s">
        <v>244</v>
      </c>
    </row>
    <row r="8">
      <c r="A8" s="6" t="s">
        <v>239</v>
      </c>
      <c r="B8" s="6" t="s">
        <v>245</v>
      </c>
      <c r="C8" s="6" t="s">
        <v>241</v>
      </c>
      <c r="D8" s="6" t="s">
        <v>246</v>
      </c>
      <c r="F8" s="6" t="s">
        <v>243</v>
      </c>
      <c r="G8" s="6" t="s">
        <v>244</v>
      </c>
    </row>
    <row r="9">
      <c r="A9" s="6" t="s">
        <v>230</v>
      </c>
      <c r="B9" s="6" t="s">
        <v>247</v>
      </c>
      <c r="C9" s="6" t="s">
        <v>241</v>
      </c>
      <c r="D9" s="6" t="s">
        <v>248</v>
      </c>
      <c r="F9" s="6" t="s">
        <v>238</v>
      </c>
    </row>
    <row r="10">
      <c r="A10" s="6" t="s">
        <v>249</v>
      </c>
      <c r="B10" s="6" t="s">
        <v>250</v>
      </c>
      <c r="C10" s="6" t="s">
        <v>251</v>
      </c>
      <c r="D10" s="6" t="s">
        <v>252</v>
      </c>
    </row>
    <row r="11">
      <c r="A11" s="6" t="s">
        <v>253</v>
      </c>
      <c r="B11" s="6" t="s">
        <v>254</v>
      </c>
      <c r="C11" s="6" t="s">
        <v>241</v>
      </c>
      <c r="D11" s="6" t="s">
        <v>255</v>
      </c>
      <c r="F11" s="6" t="s">
        <v>256</v>
      </c>
      <c r="G11" s="6" t="s">
        <v>257</v>
      </c>
    </row>
    <row r="12">
      <c r="A12" s="6" t="s">
        <v>239</v>
      </c>
      <c r="B12" s="6" t="s">
        <v>258</v>
      </c>
      <c r="C12" s="6" t="s">
        <v>259</v>
      </c>
      <c r="D12" s="6" t="s">
        <v>260</v>
      </c>
      <c r="F12" s="6" t="s">
        <v>243</v>
      </c>
      <c r="G12" s="6" t="s">
        <v>244</v>
      </c>
    </row>
    <row r="13">
      <c r="A13" s="6" t="s">
        <v>230</v>
      </c>
      <c r="B13" s="6" t="s">
        <v>261</v>
      </c>
      <c r="C13" s="6" t="s">
        <v>262</v>
      </c>
      <c r="D13" s="6" t="s">
        <v>263</v>
      </c>
      <c r="F13" s="6" t="s">
        <v>238</v>
      </c>
    </row>
    <row r="14">
      <c r="A14" s="6" t="s">
        <v>264</v>
      </c>
      <c r="B14" s="6" t="s">
        <v>265</v>
      </c>
      <c r="C14" s="6" t="s">
        <v>241</v>
      </c>
      <c r="D14" s="6" t="s">
        <v>266</v>
      </c>
      <c r="F14" s="6" t="s">
        <v>267</v>
      </c>
      <c r="G14" s="6" t="s">
        <v>268</v>
      </c>
    </row>
    <row r="15">
      <c r="A15" s="6" t="s">
        <v>230</v>
      </c>
      <c r="B15" s="6" t="s">
        <v>261</v>
      </c>
      <c r="C15" s="6" t="s">
        <v>269</v>
      </c>
      <c r="D15" s="6" t="s">
        <v>270</v>
      </c>
      <c r="F15" s="6" t="s">
        <v>238</v>
      </c>
    </row>
    <row r="16">
      <c r="A16" s="6" t="s">
        <v>253</v>
      </c>
      <c r="B16" s="6" t="s">
        <v>271</v>
      </c>
      <c r="C16" s="6" t="s">
        <v>272</v>
      </c>
      <c r="D16" s="6" t="s">
        <v>273</v>
      </c>
      <c r="E16" s="6" t="s">
        <v>274</v>
      </c>
    </row>
    <row r="17">
      <c r="A17" s="6" t="s">
        <v>230</v>
      </c>
      <c r="B17" s="6" t="s">
        <v>275</v>
      </c>
      <c r="C17" s="6" t="s">
        <v>276</v>
      </c>
      <c r="D17" s="6" t="s">
        <v>277</v>
      </c>
      <c r="F17" s="6" t="s">
        <v>238</v>
      </c>
    </row>
    <row r="18">
      <c r="A18" s="6" t="s">
        <v>230</v>
      </c>
      <c r="B18" s="6" t="s">
        <v>278</v>
      </c>
      <c r="C18" s="6" t="s">
        <v>272</v>
      </c>
      <c r="D18" s="6" t="s">
        <v>279</v>
      </c>
      <c r="E18" s="6" t="s">
        <v>280</v>
      </c>
      <c r="F18" s="6" t="s">
        <v>238</v>
      </c>
    </row>
    <row r="19">
      <c r="C19" s="6" t="s">
        <v>222</v>
      </c>
      <c r="D19" s="6" t="s">
        <v>281</v>
      </c>
      <c r="E19" s="6"/>
      <c r="F19" s="6" t="s">
        <v>282</v>
      </c>
      <c r="G19" s="6"/>
      <c r="H19" s="6" t="s">
        <v>282</v>
      </c>
    </row>
    <row r="20">
      <c r="C20" s="6" t="s">
        <v>222</v>
      </c>
      <c r="D20" s="6" t="s">
        <v>283</v>
      </c>
    </row>
    <row r="21">
      <c r="C21" s="6" t="s">
        <v>222</v>
      </c>
      <c r="D21" s="6" t="s">
        <v>284</v>
      </c>
    </row>
    <row r="22">
      <c r="D22" s="6" t="s">
        <v>285</v>
      </c>
    </row>
    <row r="23">
      <c r="D23" s="6" t="s">
        <v>286</v>
      </c>
    </row>
    <row r="24">
      <c r="D24" s="6" t="s">
        <v>287</v>
      </c>
    </row>
    <row r="25">
      <c r="D25" s="6" t="s">
        <v>288</v>
      </c>
    </row>
    <row r="26">
      <c r="D26" s="6" t="s">
        <v>289</v>
      </c>
    </row>
    <row r="27">
      <c r="D27" s="6" t="s">
        <v>290</v>
      </c>
    </row>
    <row r="28">
      <c r="D28" s="6" t="s">
        <v>291</v>
      </c>
    </row>
    <row r="29">
      <c r="D29" s="6" t="s">
        <v>292</v>
      </c>
    </row>
    <row r="30">
      <c r="D30" s="6" t="s">
        <v>293</v>
      </c>
    </row>
    <row r="31">
      <c r="D31" s="6" t="s">
        <v>294</v>
      </c>
    </row>
    <row r="34">
      <c r="A34" s="6" t="s">
        <v>295</v>
      </c>
      <c r="B34" s="6" t="s">
        <v>296</v>
      </c>
      <c r="C34" s="6" t="s">
        <v>297</v>
      </c>
      <c r="D34" s="6" t="s">
        <v>298</v>
      </c>
      <c r="F34" s="6" t="s">
        <v>299</v>
      </c>
      <c r="G34" s="6" t="s">
        <v>300</v>
      </c>
      <c r="H34" s="38">
        <v>46076.0</v>
      </c>
    </row>
    <row r="35">
      <c r="A35" s="6" t="s">
        <v>301</v>
      </c>
      <c r="B35" s="6" t="s">
        <v>296</v>
      </c>
      <c r="C35" s="6" t="s">
        <v>297</v>
      </c>
      <c r="D35" s="6" t="s">
        <v>302</v>
      </c>
      <c r="F35" s="6" t="s">
        <v>303</v>
      </c>
      <c r="G35" s="6" t="s">
        <v>304</v>
      </c>
      <c r="H35" s="38">
        <v>46140.0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